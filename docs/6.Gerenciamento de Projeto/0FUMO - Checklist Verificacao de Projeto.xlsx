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  <Override PartName="/xl/commentsmeta1" ContentType="application/binary"/>
  <Override PartName="/xl/commentsmeta2" ContentType="application/binary"/>
  <Override PartName="/xl/commentsmeta3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uario\Downloads\0FUMO GIT SUBIR\"/>
    </mc:Choice>
  </mc:AlternateContent>
  <xr:revisionPtr revIDLastSave="0" documentId="13_ncr:1_{636EBF11-A1E3-42FC-8770-E0869EBE9099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Indicadores" sheetId="1" r:id="rId1"/>
    <sheet name="Detalhado" sheetId="2" r:id="rId2"/>
    <sheet name="Ver-Iniciação1" sheetId="3" r:id="rId3"/>
    <sheet name="Ver-Elaboração1" sheetId="4" r:id="rId4"/>
    <sheet name="Ver-Construção1" sheetId="5" r:id="rId5"/>
    <sheet name="Ver-Transição1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8bhkU6XpXss2BdZPCseVXUOIsY/sKREM/cjjvQyBrTc="/>
    </ext>
  </extLst>
</workbook>
</file>

<file path=xl/calcChain.xml><?xml version="1.0" encoding="utf-8"?>
<calcChain xmlns="http://schemas.openxmlformats.org/spreadsheetml/2006/main">
  <c r="J42" i="6" l="1"/>
  <c r="I42" i="6"/>
  <c r="H42" i="6"/>
  <c r="G42" i="6"/>
  <c r="J37" i="6"/>
  <c r="I37" i="6"/>
  <c r="H37" i="6"/>
  <c r="O36" i="2" s="1"/>
  <c r="G37" i="6"/>
  <c r="N36" i="2" s="1"/>
  <c r="J31" i="6"/>
  <c r="I31" i="6"/>
  <c r="H31" i="6"/>
  <c r="G31" i="6"/>
  <c r="N35" i="2" s="1"/>
  <c r="J29" i="6"/>
  <c r="Q34" i="2" s="1"/>
  <c r="I29" i="6"/>
  <c r="P34" i="2" s="1"/>
  <c r="H29" i="6"/>
  <c r="O34" i="2" s="1"/>
  <c r="G29" i="6"/>
  <c r="N34" i="2" s="1"/>
  <c r="J26" i="6"/>
  <c r="I26" i="6"/>
  <c r="H26" i="6"/>
  <c r="P33" i="2" s="1"/>
  <c r="G26" i="6"/>
  <c r="J23" i="6"/>
  <c r="I23" i="6"/>
  <c r="H23" i="6"/>
  <c r="G23" i="6"/>
  <c r="O32" i="2" s="1"/>
  <c r="J18" i="6"/>
  <c r="I18" i="6"/>
  <c r="H18" i="6"/>
  <c r="O31" i="2" s="1"/>
  <c r="G18" i="6"/>
  <c r="N31" i="2" s="1"/>
  <c r="J16" i="6"/>
  <c r="Q30" i="2" s="1"/>
  <c r="I16" i="6"/>
  <c r="P30" i="2" s="1"/>
  <c r="H16" i="6"/>
  <c r="O30" i="2" s="1"/>
  <c r="G16" i="6"/>
  <c r="N30" i="2" s="1"/>
  <c r="J14" i="6"/>
  <c r="Q28" i="2" s="1"/>
  <c r="I14" i="6"/>
  <c r="P28" i="2" s="1"/>
  <c r="H14" i="6"/>
  <c r="O28" i="2" s="1"/>
  <c r="G14" i="6"/>
  <c r="N28" i="2" s="1"/>
  <c r="J10" i="6"/>
  <c r="I10" i="6"/>
  <c r="H10" i="6"/>
  <c r="G10" i="6"/>
  <c r="J8" i="6"/>
  <c r="Q26" i="2" s="1"/>
  <c r="I8" i="6"/>
  <c r="P26" i="2" s="1"/>
  <c r="H8" i="6"/>
  <c r="O26" i="2" s="1"/>
  <c r="G8" i="6"/>
  <c r="N26" i="2" s="1"/>
  <c r="J6" i="6"/>
  <c r="Q25" i="2" s="1"/>
  <c r="I6" i="6"/>
  <c r="P25" i="2" s="1"/>
  <c r="H6" i="6"/>
  <c r="O25" i="2" s="1"/>
  <c r="G6" i="6"/>
  <c r="N25" i="2" s="1"/>
  <c r="F2" i="6"/>
  <c r="B6" i="1" s="1"/>
  <c r="J41" i="5"/>
  <c r="I41" i="5"/>
  <c r="H41" i="5"/>
  <c r="G41" i="5"/>
  <c r="B34" i="2" s="1"/>
  <c r="J36" i="5"/>
  <c r="E33" i="2" s="1"/>
  <c r="I36" i="5"/>
  <c r="D33" i="2" s="1"/>
  <c r="H36" i="5"/>
  <c r="C33" i="2" s="1"/>
  <c r="G36" i="5"/>
  <c r="B33" i="2" s="1"/>
  <c r="J30" i="5"/>
  <c r="E32" i="2" s="1"/>
  <c r="I30" i="5"/>
  <c r="D32" i="2" s="1"/>
  <c r="H30" i="5"/>
  <c r="G30" i="5"/>
  <c r="C32" i="2" s="1"/>
  <c r="J24" i="5"/>
  <c r="I24" i="5"/>
  <c r="H24" i="5"/>
  <c r="G24" i="5"/>
  <c r="J18" i="5"/>
  <c r="I18" i="5"/>
  <c r="D30" i="2" s="1"/>
  <c r="H18" i="5"/>
  <c r="G18" i="5"/>
  <c r="J16" i="5"/>
  <c r="I16" i="5"/>
  <c r="H16" i="5"/>
  <c r="G16" i="5"/>
  <c r="E28" i="2" s="1"/>
  <c r="J14" i="5"/>
  <c r="E26" i="2" s="1"/>
  <c r="I14" i="5"/>
  <c r="D26" i="2" s="1"/>
  <c r="H14" i="5"/>
  <c r="C26" i="2" s="1"/>
  <c r="G14" i="5"/>
  <c r="B26" i="2" s="1"/>
  <c r="J10" i="5"/>
  <c r="E25" i="2" s="1"/>
  <c r="I10" i="5"/>
  <c r="D25" i="2" s="1"/>
  <c r="H10" i="5"/>
  <c r="G10" i="5"/>
  <c r="J8" i="5"/>
  <c r="I8" i="5"/>
  <c r="H8" i="5"/>
  <c r="G8" i="5"/>
  <c r="J6" i="5"/>
  <c r="E23" i="2" s="1"/>
  <c r="I6" i="5"/>
  <c r="D23" i="2" s="1"/>
  <c r="H6" i="5"/>
  <c r="C23" i="2" s="1"/>
  <c r="G6" i="5"/>
  <c r="B23" i="2" s="1"/>
  <c r="F2" i="5"/>
  <c r="B5" i="1" s="1"/>
  <c r="J40" i="4"/>
  <c r="I40" i="4"/>
  <c r="Q12" i="2" s="1"/>
  <c r="H40" i="4"/>
  <c r="P12" i="2" s="1"/>
  <c r="G40" i="4"/>
  <c r="O12" i="2" s="1"/>
  <c r="J36" i="4"/>
  <c r="I36" i="4"/>
  <c r="H36" i="4"/>
  <c r="G36" i="4"/>
  <c r="J29" i="4"/>
  <c r="R10" i="2" s="1"/>
  <c r="I29" i="4"/>
  <c r="H29" i="4"/>
  <c r="G29" i="4"/>
  <c r="J23" i="4"/>
  <c r="R9" i="2" s="1"/>
  <c r="I23" i="4"/>
  <c r="Q9" i="2" s="1"/>
  <c r="H23" i="4"/>
  <c r="P9" i="2" s="1"/>
  <c r="G23" i="4"/>
  <c r="O9" i="2" s="1"/>
  <c r="J18" i="4"/>
  <c r="I18" i="4"/>
  <c r="H18" i="4"/>
  <c r="G18" i="4"/>
  <c r="J16" i="4"/>
  <c r="I16" i="4"/>
  <c r="Q5" i="2" s="1"/>
  <c r="H16" i="4"/>
  <c r="G16" i="4"/>
  <c r="R5" i="2" s="1"/>
  <c r="J11" i="4"/>
  <c r="I11" i="4"/>
  <c r="H11" i="4"/>
  <c r="P4" i="2" s="1"/>
  <c r="G11" i="4"/>
  <c r="O4" i="2" s="1"/>
  <c r="J8" i="4"/>
  <c r="I8" i="4"/>
  <c r="H8" i="4"/>
  <c r="G8" i="4"/>
  <c r="J6" i="4"/>
  <c r="I6" i="4"/>
  <c r="Q2" i="2" s="1"/>
  <c r="H6" i="4"/>
  <c r="G6" i="4"/>
  <c r="R2" i="2" s="1"/>
  <c r="F2" i="4"/>
  <c r="B4" i="1" s="1"/>
  <c r="J37" i="3"/>
  <c r="I37" i="3"/>
  <c r="H37" i="3"/>
  <c r="G37" i="3"/>
  <c r="J28" i="3"/>
  <c r="I28" i="3"/>
  <c r="D10" i="2" s="1"/>
  <c r="H28" i="3"/>
  <c r="G28" i="3"/>
  <c r="J25" i="3"/>
  <c r="I25" i="3"/>
  <c r="H25" i="3"/>
  <c r="G25" i="3"/>
  <c r="D7" i="2" s="1"/>
  <c r="J22" i="3"/>
  <c r="I22" i="3"/>
  <c r="H22" i="3"/>
  <c r="G22" i="3"/>
  <c r="J19" i="3"/>
  <c r="I19" i="3"/>
  <c r="E5" i="2" s="1"/>
  <c r="H19" i="3"/>
  <c r="G19" i="3"/>
  <c r="J13" i="3"/>
  <c r="I13" i="3"/>
  <c r="H13" i="3"/>
  <c r="G13" i="3"/>
  <c r="D4" i="2" s="1"/>
  <c r="J7" i="3"/>
  <c r="I7" i="3"/>
  <c r="H7" i="3"/>
  <c r="G7" i="3"/>
  <c r="J5" i="3"/>
  <c r="I5" i="3"/>
  <c r="E2" i="2" s="1"/>
  <c r="H5" i="3"/>
  <c r="G5" i="3"/>
  <c r="F2" i="3"/>
  <c r="Q37" i="2"/>
  <c r="P37" i="2"/>
  <c r="O37" i="2"/>
  <c r="N37" i="2"/>
  <c r="Q33" i="2"/>
  <c r="Q29" i="2"/>
  <c r="P29" i="2"/>
  <c r="O29" i="2"/>
  <c r="N29" i="2"/>
  <c r="E29" i="2"/>
  <c r="D29" i="2"/>
  <c r="C29" i="2"/>
  <c r="B29" i="2"/>
  <c r="Q27" i="2"/>
  <c r="P27" i="2"/>
  <c r="O27" i="2"/>
  <c r="N27" i="2"/>
  <c r="E27" i="2"/>
  <c r="D27" i="2"/>
  <c r="C27" i="2"/>
  <c r="B27" i="2"/>
  <c r="E24" i="2"/>
  <c r="D24" i="2"/>
  <c r="E12" i="2"/>
  <c r="D12" i="2"/>
  <c r="C12" i="2"/>
  <c r="B12" i="2"/>
  <c r="E11" i="2"/>
  <c r="D11" i="2"/>
  <c r="C11" i="2"/>
  <c r="B11" i="2"/>
  <c r="E9" i="2"/>
  <c r="D9" i="2"/>
  <c r="C9" i="2"/>
  <c r="B9" i="2"/>
  <c r="R8" i="2"/>
  <c r="Q8" i="2"/>
  <c r="P8" i="2"/>
  <c r="O8" i="2"/>
  <c r="E8" i="2"/>
  <c r="D8" i="2"/>
  <c r="C8" i="2"/>
  <c r="B8" i="2"/>
  <c r="C7" i="2"/>
  <c r="R6" i="2"/>
  <c r="Q6" i="2"/>
  <c r="P6" i="2"/>
  <c r="O6" i="2"/>
  <c r="E6" i="2"/>
  <c r="D6" i="2"/>
  <c r="C6" i="2"/>
  <c r="B6" i="2"/>
  <c r="C4" i="2"/>
  <c r="E3" i="2"/>
  <c r="D3" i="2"/>
  <c r="C3" i="2"/>
  <c r="B3" i="2"/>
  <c r="P2" i="2"/>
  <c r="B3" i="1"/>
  <c r="P36" i="2" l="1"/>
  <c r="Q36" i="2"/>
  <c r="O35" i="2"/>
  <c r="P35" i="2"/>
  <c r="Q35" i="2"/>
  <c r="O33" i="2"/>
  <c r="N33" i="2"/>
  <c r="P32" i="2"/>
  <c r="Q32" i="2"/>
  <c r="N32" i="2"/>
  <c r="P31" i="2"/>
  <c r="Q31" i="2"/>
  <c r="C31" i="2"/>
  <c r="C34" i="2"/>
  <c r="D34" i="2"/>
  <c r="E34" i="2"/>
  <c r="D31" i="2"/>
  <c r="E31" i="2"/>
  <c r="B31" i="2"/>
  <c r="C30" i="2"/>
  <c r="E30" i="2"/>
  <c r="B30" i="2"/>
  <c r="C25" i="2"/>
  <c r="B25" i="2"/>
  <c r="C24" i="2"/>
  <c r="R12" i="2"/>
  <c r="Q11" i="2"/>
  <c r="P10" i="2"/>
  <c r="Q10" i="2"/>
  <c r="Q7" i="2"/>
  <c r="R7" i="2"/>
  <c r="P7" i="2"/>
  <c r="P5" i="2"/>
  <c r="Q4" i="2"/>
  <c r="R4" i="2"/>
  <c r="R3" i="2"/>
  <c r="O3" i="2"/>
  <c r="B28" i="2"/>
  <c r="C28" i="2"/>
  <c r="P3" i="2"/>
  <c r="Q3" i="2"/>
  <c r="B2" i="2"/>
  <c r="B5" i="2"/>
  <c r="C2" i="2"/>
  <c r="C5" i="2"/>
  <c r="D2" i="2"/>
  <c r="D5" i="2"/>
  <c r="D28" i="2"/>
  <c r="O2" i="2"/>
  <c r="B4" i="2"/>
  <c r="O5" i="2"/>
  <c r="B7" i="2"/>
  <c r="B10" i="2"/>
  <c r="O11" i="2"/>
  <c r="E4" i="2"/>
  <c r="E7" i="2"/>
  <c r="E10" i="2"/>
  <c r="R11" i="2"/>
  <c r="O7" i="2"/>
  <c r="O10" i="2"/>
  <c r="B24" i="2"/>
  <c r="B32" i="2"/>
  <c r="C10" i="2"/>
  <c r="P1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2" authorId="0" shapeId="0" xr:uid="{00000000-0006-0000-0200-000002000000}">
      <text>
        <r>
          <rPr>
            <sz val="11"/>
            <color theme="1"/>
            <rFont val="Calibri"/>
            <scheme val="minor"/>
          </rPr>
          <t>======
ID#AAAB29uIrjk
Autor    (2026-04-05 21:35:27)
Como calcular o Indicador de Aderência ao Processo
Considerando os 32 itens deste checklist, subtraia os resultados NA, então divida o total de SIM pelo total de itens verificados sem NA.
Exemplo
32 - 2(NA) = 30
SIM = 25
índice de aderência = 25/30 = 0,83 * 100 = 83%</t>
        </r>
      </text>
    </comment>
    <comment ref="D4" authorId="0" shapeId="0" xr:uid="{00000000-0006-0000-0200-000004000000}">
      <text>
        <r>
          <rPr>
            <sz val="11"/>
            <color theme="1"/>
            <rFont val="Calibri"/>
            <scheme val="minor"/>
          </rPr>
          <t>======
ID#AAAB29uIrjI
Autor    (2026-04-05 21:35:27)
Sim - Existe evidência direta ou indireta.
Parcialmente - Existe evidência direta ou indireta de forma parcial.
Não - Não existe evidência.
NA - Não se aplica ao projeto.</t>
        </r>
      </text>
    </comment>
    <comment ref="E4" authorId="0" shapeId="0" xr:uid="{00000000-0006-0000-0200-000003000000}">
      <text>
        <r>
          <rPr>
            <sz val="11"/>
            <color theme="1"/>
            <rFont val="Calibri"/>
            <scheme val="minor"/>
          </rPr>
          <t>======
ID#AAAB29uIrjo
Autor    (2026-04-05 21:35:27)
Caso o resultado seja NÃO, este campo deve ser preenchido.</t>
        </r>
      </text>
    </comment>
    <comment ref="F4" authorId="0" shapeId="0" xr:uid="{00000000-0006-0000-0200-000001000000}">
      <text>
        <r>
          <rPr>
            <sz val="11"/>
            <color theme="1"/>
            <rFont val="Calibri"/>
            <scheme val="minor"/>
          </rPr>
          <t>======
ID#AAAB29uIrjw
Autor    (2026-04-05 21:35:27)
Sempre que uma boa prática for observada no projeto ou reportada pelo time, este campo deve ser preenchido.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Cl9rxMJw37NL9bKbbtyvJGbej7Q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2" authorId="0" shapeId="0" xr:uid="{00000000-0006-0000-0300-000002000000}">
      <text>
        <r>
          <rPr>
            <sz val="11"/>
            <color theme="1"/>
            <rFont val="Calibri"/>
            <scheme val="minor"/>
          </rPr>
          <t>======
ID#AAAB29uIrjs
Autor    (2026-04-05 21:35:27)
Como calcular o Indicador de Aderência ao Processo
Considerando os 32 itens deste checklist, subtraia os resultados NA, então divida o total de SIM pelo total de itens verificados sem NA.
Exemplo
32 - 2(NA) = 30
SIM = 25
índice de aderência = 25/30 = 0,83 * 100 = 83%</t>
        </r>
      </text>
    </comment>
    <comment ref="D4" authorId="0" shapeId="0" xr:uid="{00000000-0006-0000-0300-000004000000}">
      <text>
        <r>
          <rPr>
            <sz val="11"/>
            <color theme="1"/>
            <rFont val="Calibri"/>
            <scheme val="minor"/>
          </rPr>
          <t>======
ID#AAAB29uIrjM
Autor    (2026-04-05 21:35:27)
Sim - Existe evidência direta ou indireta.
Parcialmente - Existe evidência direta ou indireta de forma parcial.
Não - Não existe evidência.
NA - Não se aplica ao projeto.</t>
        </r>
      </text>
    </comment>
    <comment ref="E4" authorId="0" shapeId="0" xr:uid="{00000000-0006-0000-0300-000001000000}">
      <text>
        <r>
          <rPr>
            <sz val="11"/>
            <color theme="1"/>
            <rFont val="Calibri"/>
            <scheme val="minor"/>
          </rPr>
          <t>======
ID#AAAB29uIrj4
Autor    (2026-04-05 21:35:27)
Caso o resultado seja NÃO, este campo deve ser preenchido.</t>
        </r>
      </text>
    </comment>
    <comment ref="F4" authorId="0" shapeId="0" xr:uid="{00000000-0006-0000-0300-000003000000}">
      <text>
        <r>
          <rPr>
            <sz val="11"/>
            <color theme="1"/>
            <rFont val="Calibri"/>
            <scheme val="minor"/>
          </rPr>
          <t>======
ID#AAAB29uIrjg
Autor    (2026-04-05 21:35:27)
Sempre que uma boa prática for observada no projeto ou reportada pelo time, este campo deve ser preenchido.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A493ocfyCYOuztjGe/HxkhA6Gxg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2" authorId="0" shapeId="0" xr:uid="{00000000-0006-0000-0400-000001000000}">
      <text>
        <r>
          <rPr>
            <sz val="11"/>
            <color theme="1"/>
            <rFont val="Calibri"/>
            <scheme val="minor"/>
          </rPr>
          <t>======
ID#AAAB29uIrj8
Autor    (2026-04-05 21:35:27)
Como calcular o Indicador de Aderência ao Processo
Considerando os 32 itens deste checklist, subtraia os resultados NA, então divida o total de SIM pelo total de itens verificados sem NA.
Exemplo
32 - 2(NA) = 30
SIM = 25
índice de aderência = 25/30 = 0,83 * 100 = 83%</t>
        </r>
      </text>
    </comment>
    <comment ref="D4" authorId="0" shapeId="0" xr:uid="{00000000-0006-0000-0400-000003000000}">
      <text>
        <r>
          <rPr>
            <sz val="11"/>
            <color theme="1"/>
            <rFont val="Calibri"/>
            <scheme val="minor"/>
          </rPr>
          <t>======
ID#AAAB29uIrjc
Autor    (2026-04-05 21:35:27)
Sim - Existe evidência direta ou indireta.
Parcialmente - Existe evidência direta ou indireta de forma parcial.
Não - Não existe evidência.
NA - Não se aplica ao projeto.</t>
        </r>
      </text>
    </comment>
    <comment ref="E4" authorId="0" shapeId="0" xr:uid="{00000000-0006-0000-0400-000002000000}">
      <text>
        <r>
          <rPr>
            <sz val="11"/>
            <color theme="1"/>
            <rFont val="Calibri"/>
            <scheme val="minor"/>
          </rPr>
          <t>======
ID#AAAB29uIrj0
Autor    (2026-04-05 21:35:27)
Caso o resultado seja NÃO, este campo deve ser preenchido.</t>
        </r>
      </text>
    </comment>
    <comment ref="F4" authorId="0" shapeId="0" xr:uid="{00000000-0006-0000-0400-000004000000}">
      <text>
        <r>
          <rPr>
            <sz val="11"/>
            <color theme="1"/>
            <rFont val="Calibri"/>
            <scheme val="minor"/>
          </rPr>
          <t>======
ID#AAAB29uIrjU
Autor    (2026-04-05 21:35:27)
Sempre que uma boa prática for observada no projeto ou reportada pelo time, este campo deve ser preenchido.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QUQhTbIdrIlaiElKrgbLlt3gsmQ=="/>
    </ext>
  </extL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2" authorId="0" shapeId="0" xr:uid="{00000000-0006-0000-0500-000003000000}">
      <text>
        <r>
          <rPr>
            <sz val="11"/>
            <color theme="1"/>
            <rFont val="Calibri"/>
            <scheme val="minor"/>
          </rPr>
          <t>======
ID#AAAB29uIrjQ
Autor    (2026-04-05 21:35:27)
Como calcular o Indicador de Aderência ao Processo
Considerando os 32 itens deste checklist, subtraia os resultados NA, então divida o total de SIM pelo total de itens verificados sem NA.
Exemplo
32 - 2(NA) = 30
SIM = 25
índice de aderência = 25/30 = 0,83 * 100 = 83%</t>
        </r>
      </text>
    </comment>
    <comment ref="D4" authorId="0" shapeId="0" xr:uid="{00000000-0006-0000-0500-000004000000}">
      <text>
        <r>
          <rPr>
            <sz val="11"/>
            <color theme="1"/>
            <rFont val="Calibri"/>
            <scheme val="minor"/>
          </rPr>
          <t>======
ID#AAAB29uIrjE
Autor    (2026-04-05 21:35:27)
Sim - Existe evidência direta ou indireta.
Parcialmente - Existe evidência direta ou indireta de forma parcial.
Não - Não existe evidência.
NA - Não se aplica ao projeto.</t>
        </r>
      </text>
    </comment>
    <comment ref="E4" authorId="0" shapeId="0" xr:uid="{00000000-0006-0000-0500-000001000000}">
      <text>
        <r>
          <rPr>
            <sz val="11"/>
            <color theme="1"/>
            <rFont val="Calibri"/>
            <scheme val="minor"/>
          </rPr>
          <t>======
ID#AAAB29uIrkA
Autor    (2026-04-05 21:35:27)
Caso o resultado seja NÃO, este campo deve ser preenchido.</t>
        </r>
      </text>
    </comment>
    <comment ref="F4" authorId="0" shapeId="0" xr:uid="{00000000-0006-0000-0500-000002000000}">
      <text>
        <r>
          <rPr>
            <sz val="11"/>
            <color theme="1"/>
            <rFont val="Calibri"/>
            <scheme val="minor"/>
          </rPr>
          <t>======
ID#AAAB29uIrjY
Autor    (2026-04-05 21:35:27)
Sempre que uma boa prática for observada no projeto ou reportada pelo time, este campo deve ser preenchido.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OIzsTGjL4pdsv/Ma9PASQSrlD7w=="/>
    </ext>
  </extLst>
</comments>
</file>

<file path=xl/sharedStrings.xml><?xml version="1.0" encoding="utf-8"?>
<sst xmlns="http://schemas.openxmlformats.org/spreadsheetml/2006/main" count="404" uniqueCount="120">
  <si>
    <t>IAP - Indicador de Aderência ao Processo (70% a 100%)</t>
  </si>
  <si>
    <t>Fases e iterações (sprints)</t>
  </si>
  <si>
    <t>Aderência (%)</t>
  </si>
  <si>
    <t>Iniciação</t>
  </si>
  <si>
    <t>Elaboração</t>
  </si>
  <si>
    <t>Construção</t>
  </si>
  <si>
    <t>Transição</t>
  </si>
  <si>
    <t>DESCRIÇÃO</t>
  </si>
  <si>
    <t>SIM</t>
  </si>
  <si>
    <t>PARCIALMENTE</t>
  </si>
  <si>
    <t>NÃO</t>
  </si>
  <si>
    <t>N/A</t>
  </si>
  <si>
    <t>documentos não padronizados (templates, guias, leis, etc.)</t>
  </si>
  <si>
    <t>visão</t>
  </si>
  <si>
    <t>modelo de caso de uso</t>
  </si>
  <si>
    <t>especificações de requisitos (casos de uso e/ou histórias do usuário)?</t>
  </si>
  <si>
    <t>glossário</t>
  </si>
  <si>
    <t>atas de reuniões</t>
  </si>
  <si>
    <t>modelo de arquitetura</t>
  </si>
  <si>
    <t>termo de abertura do projeto</t>
  </si>
  <si>
    <t>guia de implementação</t>
  </si>
  <si>
    <t>caso de desenvolvimento</t>
  </si>
  <si>
    <t xml:space="preserve">codigo fonte </t>
  </si>
  <si>
    <t>planilha de planejamento e controle do projeto</t>
  </si>
  <si>
    <t>repositório (itens de configuração)</t>
  </si>
  <si>
    <t>requisição de mudanças</t>
  </si>
  <si>
    <t>roteiro de testes</t>
  </si>
  <si>
    <t>guia de implantação</t>
  </si>
  <si>
    <t>manual do usuário (pode ser help on-line)</t>
  </si>
  <si>
    <t>CheckList de Verificação de Projeto</t>
  </si>
  <si>
    <t>Data da Verificação:</t>
  </si>
  <si>
    <t>IAP - Indicador de Aderência ao Processo:</t>
  </si>
  <si>
    <t>Nome do Verificador:</t>
  </si>
  <si>
    <t>Cauan Teixeira Jardim</t>
  </si>
  <si>
    <t>O ideal é que o índice de aderência ao processo tenha entre 70 e 100%</t>
  </si>
  <si>
    <t>Disciplina</t>
  </si>
  <si>
    <t>Qde.</t>
  </si>
  <si>
    <t>Itens de verificação</t>
  </si>
  <si>
    <t>Resultado</t>
  </si>
  <si>
    <t>Descrever o desvio</t>
  </si>
  <si>
    <t>Sugestão de melhoria</t>
  </si>
  <si>
    <t>Ambiente</t>
  </si>
  <si>
    <t>Existe template para documento não previsto no SpinOff?</t>
  </si>
  <si>
    <t>Não</t>
  </si>
  <si>
    <t>Desenvolvimento - Requisitos</t>
  </si>
  <si>
    <t>O artefato foi criado com o template atual e armazenado na pasta correta da estrutura do projeto?</t>
  </si>
  <si>
    <t>Sim</t>
  </si>
  <si>
    <t>O objetivo, os problemas  e as necessidades do cliente estão claras?</t>
  </si>
  <si>
    <t>As necessidades foram descritas como histórias de usuário?</t>
  </si>
  <si>
    <t>Fornece uma visão geral do sistema de forma clara e objetiva?</t>
  </si>
  <si>
    <t>Foram identificadas restrições de prazo, custo, tecnológica, ou qualquer outra e registradas no Visão?</t>
  </si>
  <si>
    <t>Parcialmente</t>
  </si>
  <si>
    <t>O modelo de casos de uso, escopo do sistema em termos de funcionalidades, e respectivas permissões de acesso estão claros?</t>
  </si>
  <si>
    <t>Os casos de uso e atores possuem descrições claras e objetivas de forma a não necessitar que alguém explique-o verbalmente?</t>
  </si>
  <si>
    <t>Caso tenha sido criado o protótipo, ele foi armazenado na pasta correta da estrutura do projeto?</t>
  </si>
  <si>
    <t>NA</t>
  </si>
  <si>
    <t>O escopo foi apresentado e aprovado pelo cliente ou representante?</t>
  </si>
  <si>
    <t>especificações de requisitos (histórias do usuário)?</t>
  </si>
  <si>
    <t>Se criado, o artefato usou o template atual e foi armazenado na pasta correta da estrutura do projeto?</t>
  </si>
  <si>
    <t>Se criados, as especificações para os casos de uso/histórias de usuário são testáveis, ou seja, é possível identificar as entradas e verificar se as saída estão corretas?</t>
  </si>
  <si>
    <t>As descrições dos termos estão claras?</t>
  </si>
  <si>
    <t>As atas das reuniões de levantamento de requisitos foram aprovadas?</t>
  </si>
  <si>
    <t>A equipe foi definida com seus respectivos e-mails?</t>
  </si>
  <si>
    <t>O backlog do produto foi criado com todos os Casos de Uso?</t>
  </si>
  <si>
    <t>Foi feita a estimativa do Backlog do Produto?</t>
  </si>
  <si>
    <t>Foi feita a priorização do Backlog do Produto?</t>
  </si>
  <si>
    <t>O plano de entregas foi definido e documentado e corresponde ao número de sprints planejado?</t>
  </si>
  <si>
    <t>O plano de gerenciamento de riscos foi elaborado e considerou as restrições registradas no Visão?</t>
  </si>
  <si>
    <t>O planejamento foi apresentado e aprovado pelo cliente ou representante?</t>
  </si>
  <si>
    <t>Gerenciamento de Configuração e Mudanças</t>
  </si>
  <si>
    <t>A estrutura do projeto (repositório) foi criada com o template atual e está sicronizada com o servidor?</t>
  </si>
  <si>
    <t>Os artefatos estão nos locais corretos conforme guia-mapeamento de processo x produto?</t>
  </si>
  <si>
    <t>Os artefatos estão nomeados conforme guia-políticas de GC?</t>
  </si>
  <si>
    <t>Os históricos de atualizações dos artefatos, na ferramenta,  possuem descrição do que foi alterado?</t>
  </si>
  <si>
    <t>O visão foi atualizado devido a mudança de escopo?</t>
  </si>
  <si>
    <t>O modelo de casos de uso, escopo do sistema, foi atualizado conforme as mudanças?</t>
  </si>
  <si>
    <t>Os casos de uso e atores foram documentados (especificados) com descrição dos elementos UML.</t>
  </si>
  <si>
    <t>As especificações dos casos de uso/histórias de usuário foram atualizadas conforme a implementação?</t>
  </si>
  <si>
    <t>Foi criado/atualizado o modelo de negócio das entidades? (diagrama de classes)</t>
  </si>
  <si>
    <t>As novas especificações, modelos e protótipos foram aprovados pelo cliente?</t>
  </si>
  <si>
    <t>O caso de uso/história de usuário escolhido para definir e testar a arquitetura foi especificado?</t>
  </si>
  <si>
    <t>Foi atualizado?</t>
  </si>
  <si>
    <t>Desenvolvimento - Análise e Design</t>
  </si>
  <si>
    <t>O caso de uso escolhido para definir e testar a arquitetura foi implementado e testado?</t>
  </si>
  <si>
    <t>Foram criados diagramas de classes, de arquitetura, de pacotes e de deployment?</t>
  </si>
  <si>
    <t>Os requisitos suplementares (não funcionais) foram especificados e utilizados na definição da arquitetura?</t>
  </si>
  <si>
    <t>Foi criado o Modelo de Negócio (diagrama de classes com todas as entidades identificadas) ou um DER (diagrama de entidade relacionamento)</t>
  </si>
  <si>
    <t>Desenvolvimento - Implementação</t>
  </si>
  <si>
    <t>O código respeita o modelo de arquitetura, inclusive nomeação de classes, atributos, relacionamentos e pacotes?</t>
  </si>
  <si>
    <t>O código está dentro dos padrões de codificação, conforme as convenções de código da linguagem?</t>
  </si>
  <si>
    <t>Foram criados os testes unitários dos controladores?</t>
  </si>
  <si>
    <t>Os testes unitários foram executados?</t>
  </si>
  <si>
    <t>Gerenciamento de Projetos</t>
  </si>
  <si>
    <t>Foi feito o planejamento do Sprint?</t>
  </si>
  <si>
    <t>Foi refeita a estimativa e a priorização no Backlog do Sprint?</t>
  </si>
  <si>
    <t>No Backlog do Produto foi incluído mais alguma atividade, estimado e priorizado?</t>
  </si>
  <si>
    <t>O plano de entregas foi atualizado?</t>
  </si>
  <si>
    <t>O plano de gerenciamento de riscos foi atualizado?</t>
  </si>
  <si>
    <t>Foram feitas as reuniões de Revisão do Produto e Processo?</t>
  </si>
  <si>
    <t>As mudanças de escopo foram registradas no Backlog do produto?</t>
  </si>
  <si>
    <t>Há rastreabilidade (histórico do que foi alterado) das mudanças?</t>
  </si>
  <si>
    <t>Os diagramas de de casos de uso e classes foram atualizados conforme a implementação? (diagrama de classes ou DER)</t>
  </si>
  <si>
    <t>O modelo de arquitetura foi atualizado?</t>
  </si>
  <si>
    <t>Os diagramas de classe foram atualizados conforme a codificação realizada?</t>
  </si>
  <si>
    <t>Desenvolvimento - Testes</t>
  </si>
  <si>
    <t>Possui um roteiro com casos de testes para cada caso de uso ou história de usuário?</t>
  </si>
  <si>
    <t>Os dados de entrada e resultados esperados estão definidos?</t>
  </si>
  <si>
    <t>Existem evidências de execução dos testes?</t>
  </si>
  <si>
    <t>Os testes realizados foram registrados no roteiro de testes?</t>
  </si>
  <si>
    <t>O Backlog do Produto foi alterado, caso tenham sido incluidas ou removidas tarefas?</t>
  </si>
  <si>
    <t>O plano de entregas foi atualizado? Corresponde ao número de sprints?</t>
  </si>
  <si>
    <t>Existe histórico de alterações das configurações base?</t>
  </si>
  <si>
    <t>Foi realizado refinamentos no código para melhorar eficiência ou corrigir bugs?</t>
  </si>
  <si>
    <t>Os diagramas de classes foram atualizados?</t>
  </si>
  <si>
    <t>Os testes unitários foram executados, todos passaram?</t>
  </si>
  <si>
    <t>Os roteiros de testes foram atualizados e executados?</t>
  </si>
  <si>
    <t>Desenvolvimento - Implantação</t>
  </si>
  <si>
    <t>O guia de implantação foi criado para implantar o produto (subproduto) com software, hardware, etc. necessários para a implantação em ambiente de produção?</t>
  </si>
  <si>
    <t>Foram realizados os testes de aceitação por parte do usuário final?</t>
  </si>
  <si>
    <t>Mateus Zerbini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</si>
</sst>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scheme val="minor"/>
    </font>
    <font>
      <b/>
      <sz val="14"/>
      <color theme="1"/>
      <name val="Calibri"/>
    </font>
    <font>
      <sz val="11"/>
      <name val="Calibri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onsolas"/>
    </font>
    <font>
      <b/>
      <sz val="14"/>
      <color theme="0"/>
      <name val="Arial"/>
    </font>
    <font>
      <b/>
      <sz val="11"/>
      <color theme="0"/>
      <name val="Calibri"/>
    </font>
    <font>
      <b/>
      <i/>
      <sz val="11"/>
      <color theme="1"/>
      <name val="Calibri"/>
    </font>
    <font>
      <b/>
      <sz val="12"/>
      <color theme="1"/>
      <name val="Calibri"/>
    </font>
    <font>
      <b/>
      <sz val="10"/>
      <color theme="1"/>
      <name val="Calibri"/>
    </font>
    <font>
      <b/>
      <sz val="11"/>
      <color rgb="FFFFFFFF"/>
      <name val="Calibri"/>
    </font>
    <font>
      <b/>
      <sz val="11"/>
      <color theme="0"/>
      <name val="Arial"/>
    </font>
    <font>
      <sz val="11"/>
      <color rgb="FF000000"/>
      <name val="Calibri"/>
    </font>
    <font>
      <b/>
      <sz val="11"/>
      <color rgb="FF000000"/>
      <name val="Calibri"/>
    </font>
    <font>
      <sz val="11"/>
      <color theme="1"/>
      <name val="Arial Black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EF2CB"/>
        <bgColor rgb="FFFEF2CB"/>
      </patternFill>
    </fill>
    <fill>
      <patternFill patternType="solid">
        <fgColor rgb="FFC00000"/>
        <bgColor rgb="FFC00000"/>
      </patternFill>
    </fill>
    <fill>
      <patternFill patternType="solid">
        <fgColor rgb="FFFBE4D5"/>
        <bgColor rgb="FFFBE4D5"/>
      </patternFill>
    </fill>
  </fills>
  <borders count="2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3" fillId="3" borderId="3" xfId="0" applyFont="1" applyFill="1" applyBorder="1" applyAlignment="1">
      <alignment wrapText="1"/>
    </xf>
    <xf numFmtId="0" fontId="3" fillId="3" borderId="3" xfId="0" applyFont="1" applyFill="1" applyBorder="1" applyAlignment="1">
      <alignment horizontal="center" wrapText="1"/>
    </xf>
    <xf numFmtId="0" fontId="3" fillId="3" borderId="3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/>
    <xf numFmtId="9" fontId="4" fillId="0" borderId="0" xfId="0" applyNumberFormat="1" applyFont="1"/>
    <xf numFmtId="9" fontId="6" fillId="0" borderId="0" xfId="0" applyNumberFormat="1" applyFont="1" applyAlignment="1">
      <alignment vertical="center"/>
    </xf>
    <xf numFmtId="14" fontId="4" fillId="0" borderId="5" xfId="0" applyNumberFormat="1" applyFont="1" applyBorder="1"/>
    <xf numFmtId="0" fontId="10" fillId="2" borderId="8" xfId="0" applyFont="1" applyFill="1" applyBorder="1" applyAlignment="1">
      <alignment horizontal="center"/>
    </xf>
    <xf numFmtId="0" fontId="4" fillId="0" borderId="1" xfId="0" applyFont="1" applyBorder="1"/>
    <xf numFmtId="0" fontId="8" fillId="4" borderId="3" xfId="0" applyFont="1" applyFill="1" applyBorder="1" applyAlignment="1">
      <alignment horizontal="left"/>
    </xf>
    <xf numFmtId="0" fontId="8" fillId="4" borderId="12" xfId="0" applyFont="1" applyFill="1" applyBorder="1" applyAlignment="1">
      <alignment horizontal="center"/>
    </xf>
    <xf numFmtId="0" fontId="12" fillId="4" borderId="12" xfId="0" applyFont="1" applyFill="1" applyBorder="1" applyAlignment="1">
      <alignment horizontal="left"/>
    </xf>
    <xf numFmtId="0" fontId="8" fillId="4" borderId="12" xfId="0" applyFont="1" applyFill="1" applyBorder="1" applyAlignment="1">
      <alignment horizontal="left"/>
    </xf>
    <xf numFmtId="0" fontId="14" fillId="5" borderId="3" xfId="0" applyFont="1" applyFill="1" applyBorder="1" applyAlignment="1">
      <alignment horizontal="center" vertical="center" shrinkToFit="1"/>
    </xf>
    <xf numFmtId="0" fontId="9" fillId="5" borderId="3" xfId="0" applyFont="1" applyFill="1" applyBorder="1" applyAlignment="1">
      <alignment horizontal="left" wrapText="1"/>
    </xf>
    <xf numFmtId="0" fontId="4" fillId="5" borderId="3" xfId="0" applyFont="1" applyFill="1" applyBorder="1" applyAlignment="1">
      <alignment horizontal="left" wrapText="1"/>
    </xf>
    <xf numFmtId="0" fontId="14" fillId="0" borderId="3" xfId="0" applyFont="1" applyBorder="1" applyAlignment="1">
      <alignment horizontal="center" vertical="center" shrinkToFit="1"/>
    </xf>
    <xf numFmtId="0" fontId="4" fillId="0" borderId="3" xfId="0" applyFont="1" applyBorder="1" applyAlignment="1">
      <alignment horizontal="left" wrapText="1"/>
    </xf>
    <xf numFmtId="0" fontId="4" fillId="0" borderId="3" xfId="0" applyFont="1" applyBorder="1"/>
    <xf numFmtId="0" fontId="15" fillId="2" borderId="3" xfId="0" applyFont="1" applyFill="1" applyBorder="1" applyAlignment="1">
      <alignment horizontal="center" vertical="center" shrinkToFit="1"/>
    </xf>
    <xf numFmtId="0" fontId="4" fillId="2" borderId="3" xfId="0" applyFont="1" applyFill="1" applyBorder="1" applyAlignment="1">
      <alignment horizontal="left" wrapText="1"/>
    </xf>
    <xf numFmtId="0" fontId="4" fillId="0" borderId="0" xfId="0" applyFont="1" applyAlignment="1">
      <alignment horizontal="left"/>
    </xf>
    <xf numFmtId="0" fontId="14" fillId="2" borderId="3" xfId="0" applyFont="1" applyFill="1" applyBorder="1" applyAlignment="1">
      <alignment horizontal="center" vertical="center" shrinkToFit="1"/>
    </xf>
    <xf numFmtId="0" fontId="16" fillId="0" borderId="0" xfId="0" applyFont="1"/>
    <xf numFmtId="0" fontId="4" fillId="0" borderId="5" xfId="0" applyFont="1" applyBorder="1"/>
    <xf numFmtId="0" fontId="8" fillId="4" borderId="3" xfId="0" applyFont="1" applyFill="1" applyBorder="1" applyAlignment="1">
      <alignment horizontal="center"/>
    </xf>
    <xf numFmtId="0" fontId="4" fillId="5" borderId="3" xfId="0" applyFont="1" applyFill="1" applyBorder="1"/>
    <xf numFmtId="0" fontId="13" fillId="4" borderId="13" xfId="0" applyFont="1" applyFill="1" applyBorder="1" applyAlignment="1">
      <alignment horizontal="center" vertical="center" shrinkToFit="1"/>
    </xf>
    <xf numFmtId="0" fontId="2" fillId="0" borderId="15" xfId="0" applyFont="1" applyBorder="1"/>
    <xf numFmtId="0" fontId="2" fillId="0" borderId="16" xfId="0" applyFont="1" applyBorder="1"/>
    <xf numFmtId="0" fontId="2" fillId="0" borderId="14" xfId="0" applyFont="1" applyBorder="1"/>
    <xf numFmtId="0" fontId="13" fillId="4" borderId="18" xfId="0" applyFont="1" applyFill="1" applyBorder="1" applyAlignment="1">
      <alignment horizontal="center" vertical="center" shrinkToFit="1"/>
    </xf>
    <xf numFmtId="0" fontId="2" fillId="0" borderId="19" xfId="0" applyFont="1" applyBorder="1"/>
    <xf numFmtId="0" fontId="2" fillId="0" borderId="20" xfId="0" applyFont="1" applyBorder="1"/>
    <xf numFmtId="0" fontId="7" fillId="4" borderId="1" xfId="0" applyFont="1" applyFill="1" applyBorder="1" applyAlignment="1">
      <alignment horizontal="center" vertical="center"/>
    </xf>
    <xf numFmtId="0" fontId="2" fillId="0" borderId="4" xfId="0" applyFont="1" applyBorder="1"/>
    <xf numFmtId="0" fontId="2" fillId="0" borderId="2" xfId="0" applyFont="1" applyBorder="1"/>
    <xf numFmtId="0" fontId="8" fillId="4" borderId="1" xfId="0" applyFont="1" applyFill="1" applyBorder="1" applyAlignment="1">
      <alignment horizontal="right"/>
    </xf>
    <xf numFmtId="0" fontId="9" fillId="5" borderId="6" xfId="0" applyFont="1" applyFill="1" applyBorder="1" applyAlignment="1">
      <alignment horizontal="center" wrapText="1"/>
    </xf>
    <xf numFmtId="0" fontId="2" fillId="0" borderId="7" xfId="0" applyFont="1" applyBorder="1"/>
    <xf numFmtId="0" fontId="3" fillId="2" borderId="9" xfId="0" applyFont="1" applyFill="1" applyBorder="1" applyAlignment="1">
      <alignment horizontal="center"/>
    </xf>
    <xf numFmtId="0" fontId="2" fillId="0" borderId="10" xfId="0" applyFont="1" applyBorder="1"/>
    <xf numFmtId="0" fontId="2" fillId="0" borderId="11" xfId="0" applyFont="1" applyBorder="1"/>
    <xf numFmtId="0" fontId="1" fillId="2" borderId="1" xfId="0" applyFont="1" applyFill="1" applyBorder="1" applyAlignment="1">
      <alignment horizontal="center"/>
    </xf>
    <xf numFmtId="0" fontId="13" fillId="4" borderId="17" xfId="0" applyFont="1" applyFill="1" applyBorder="1" applyAlignment="1">
      <alignment horizontal="center" vertical="center" shrinkToFit="1"/>
    </xf>
    <xf numFmtId="0" fontId="11" fillId="2" borderId="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
<Relationships xmlns="http://schemas.openxmlformats.org/package/2006/relationships"><Relationship Id="rId1" Type="http://customschemas.google.com/relationships/workbookmetadata" Target="commentsmeta3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trendlin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Indicadores!$A$3:$A$6</c:f>
              <c:strCache>
                <c:ptCount val="4"/>
                <c:pt idx="0">
                  <c:v>Iniciação</c:v>
                </c:pt>
                <c:pt idx="1">
                  <c:v>Elaboração</c:v>
                </c:pt>
                <c:pt idx="2">
                  <c:v>Construção</c:v>
                </c:pt>
                <c:pt idx="3">
                  <c:v>Transição</c:v>
                </c:pt>
              </c:strCache>
            </c:strRef>
          </c:cat>
          <c:val>
            <c:numRef>
              <c:f>Indicadores!$B$3:$B$6</c:f>
              <c:numCache>
                <c:formatCode>General</c:formatCode>
                <c:ptCount val="4"/>
                <c:pt idx="0">
                  <c:v>0.77272727272727271</c:v>
                </c:pt>
                <c:pt idx="1">
                  <c:v>0.85</c:v>
                </c:pt>
                <c:pt idx="2">
                  <c:v>0.94736842105263153</c:v>
                </c:pt>
                <c:pt idx="3">
                  <c:v>0.88888888888888884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CB46-4B27-8F7B-6D06018C3F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4508541"/>
        <c:axId val="1104897023"/>
      </c:barChart>
      <c:catAx>
        <c:axId val="4045085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104897023"/>
        <c:crosses val="autoZero"/>
        <c:auto val="1"/>
        <c:lblAlgn val="ctr"/>
        <c:lblOffset val="100"/>
        <c:noMultiLvlLbl val="1"/>
      </c:catAx>
      <c:valAx>
        <c:axId val="11048970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40450854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pt-BR" sz="1400" b="0" i="0">
                <a:solidFill>
                  <a:srgbClr val="757575"/>
                </a:solidFill>
                <a:latin typeface="+mn-lt"/>
              </a:rPr>
              <a:t>INICIAÇÃO DETALHADA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SIM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Detalhado!$A$2:$A$12</c:f>
              <c:strCache>
                <c:ptCount val="11"/>
                <c:pt idx="0">
                  <c:v>documentos não padronizados (templates, guias, leis, etc.)</c:v>
                </c:pt>
                <c:pt idx="1">
                  <c:v>visão</c:v>
                </c:pt>
                <c:pt idx="2">
                  <c:v>modelo de caso de uso</c:v>
                </c:pt>
                <c:pt idx="3">
                  <c:v>especificações de requisitos (casos de uso e/ou histórias do usuário)?</c:v>
                </c:pt>
                <c:pt idx="4">
                  <c:v>glossário</c:v>
                </c:pt>
                <c:pt idx="5">
                  <c:v>atas de reuniões</c:v>
                </c:pt>
                <c:pt idx="6">
                  <c:v>termo de abertura do projeto</c:v>
                </c:pt>
                <c:pt idx="7">
                  <c:v>caso de desenvolvimento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Detalhado!$B$2:$B$12</c:f>
              <c:numCache>
                <c:formatCode>0%</c:formatCode>
                <c:ptCount val="11"/>
                <c:pt idx="0">
                  <c:v>0</c:v>
                </c:pt>
                <c:pt idx="1">
                  <c:v>0.8</c:v>
                </c:pt>
                <c:pt idx="2">
                  <c:v>0.6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0.875</c:v>
                </c:pt>
                <c:pt idx="9">
                  <c:v>0.75</c:v>
                </c:pt>
                <c:pt idx="1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C7D-4E23-B787-476B92B77995}"/>
            </c:ext>
          </c:extLst>
        </c:ser>
        <c:ser>
          <c:idx val="1"/>
          <c:order val="1"/>
          <c:tx>
            <c:v>PARCIALMENTE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Detalhado!$A$2:$A$12</c:f>
              <c:strCache>
                <c:ptCount val="11"/>
                <c:pt idx="0">
                  <c:v>documentos não padronizados (templates, guias, leis, etc.)</c:v>
                </c:pt>
                <c:pt idx="1">
                  <c:v>visão</c:v>
                </c:pt>
                <c:pt idx="2">
                  <c:v>modelo de caso de uso</c:v>
                </c:pt>
                <c:pt idx="3">
                  <c:v>especificações de requisitos (casos de uso e/ou histórias do usuário)?</c:v>
                </c:pt>
                <c:pt idx="4">
                  <c:v>glossário</c:v>
                </c:pt>
                <c:pt idx="5">
                  <c:v>atas de reuniões</c:v>
                </c:pt>
                <c:pt idx="6">
                  <c:v>termo de abertura do projeto</c:v>
                </c:pt>
                <c:pt idx="7">
                  <c:v>caso de desenvolvimento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Detalhado!$C$2:$C$12</c:f>
              <c:numCache>
                <c:formatCode>0%</c:formatCode>
                <c:ptCount val="11"/>
                <c:pt idx="0">
                  <c:v>0</c:v>
                </c:pt>
                <c:pt idx="1">
                  <c:v>0.2</c:v>
                </c:pt>
                <c:pt idx="2">
                  <c:v>0.2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0.125</c:v>
                </c:pt>
                <c:pt idx="9">
                  <c:v>0.25</c:v>
                </c:pt>
                <c:pt idx="1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AC7D-4E23-B787-476B92B77995}"/>
            </c:ext>
          </c:extLst>
        </c:ser>
        <c:ser>
          <c:idx val="2"/>
          <c:order val="2"/>
          <c:tx>
            <c:v>NÃO</c:v>
          </c:tx>
          <c:spPr>
            <a:solidFill>
              <a:srgbClr val="A5A5A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Detalhado!$A$2:$A$12</c:f>
              <c:strCache>
                <c:ptCount val="11"/>
                <c:pt idx="0">
                  <c:v>documentos não padronizados (templates, guias, leis, etc.)</c:v>
                </c:pt>
                <c:pt idx="1">
                  <c:v>visão</c:v>
                </c:pt>
                <c:pt idx="2">
                  <c:v>modelo de caso de uso</c:v>
                </c:pt>
                <c:pt idx="3">
                  <c:v>especificações de requisitos (casos de uso e/ou histórias do usuário)?</c:v>
                </c:pt>
                <c:pt idx="4">
                  <c:v>glossário</c:v>
                </c:pt>
                <c:pt idx="5">
                  <c:v>atas de reuniões</c:v>
                </c:pt>
                <c:pt idx="6">
                  <c:v>termo de abertura do projeto</c:v>
                </c:pt>
                <c:pt idx="7">
                  <c:v>caso de desenvolvimento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Detalhado!$D$2:$D$12</c:f>
              <c:numCache>
                <c:formatCode>0%</c:formatCode>
                <c:ptCount val="11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AC7D-4E23-B787-476B92B77995}"/>
            </c:ext>
          </c:extLst>
        </c:ser>
        <c:ser>
          <c:idx val="3"/>
          <c:order val="3"/>
          <c:tx>
            <c:v>N/A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Detalhado!$A$2:$A$12</c:f>
              <c:strCache>
                <c:ptCount val="11"/>
                <c:pt idx="0">
                  <c:v>documentos não padronizados (templates, guias, leis, etc.)</c:v>
                </c:pt>
                <c:pt idx="1">
                  <c:v>visão</c:v>
                </c:pt>
                <c:pt idx="2">
                  <c:v>modelo de caso de uso</c:v>
                </c:pt>
                <c:pt idx="3">
                  <c:v>especificações de requisitos (casos de uso e/ou histórias do usuário)?</c:v>
                </c:pt>
                <c:pt idx="4">
                  <c:v>glossário</c:v>
                </c:pt>
                <c:pt idx="5">
                  <c:v>atas de reuniões</c:v>
                </c:pt>
                <c:pt idx="6">
                  <c:v>termo de abertura do projeto</c:v>
                </c:pt>
                <c:pt idx="7">
                  <c:v>caso de desenvolvimento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Detalhado!$E$2:$E$12</c:f>
              <c:numCache>
                <c:formatCode>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0.2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AC7D-4E23-B787-476B92B779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7564569"/>
        <c:axId val="1635372369"/>
      </c:barChart>
      <c:catAx>
        <c:axId val="3475645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635372369"/>
        <c:crosses val="autoZero"/>
        <c:auto val="1"/>
        <c:lblAlgn val="ctr"/>
        <c:lblOffset val="100"/>
        <c:noMultiLvlLbl val="1"/>
      </c:catAx>
      <c:valAx>
        <c:axId val="16353723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0%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347564569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pt-BR" sz="1400" b="0" i="0">
                <a:solidFill>
                  <a:srgbClr val="757575"/>
                </a:solidFill>
                <a:latin typeface="+mn-lt"/>
              </a:rPr>
              <a:t>ELABORAÇÃO DETALHADA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Detalhado!$O$1</c:f>
              <c:strCache>
                <c:ptCount val="1"/>
                <c:pt idx="0">
                  <c:v>SIM</c:v>
                </c:pt>
              </c:strCache>
            </c:strRef>
          </c:tx>
          <c:invertIfNegative val="1"/>
          <c:cat>
            <c:strRef>
              <c:f>Detalhado!$N$2:$N$12</c:f>
              <c:strCache>
                <c:ptCount val="11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Detalhado!$O$2:$O$12</c:f>
              <c:numCache>
                <c:formatCode>0%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0.75</c:v>
                </c:pt>
                <c:pt idx="3">
                  <c:v>0</c:v>
                </c:pt>
                <c:pt idx="4">
                  <c:v>0</c:v>
                </c:pt>
                <c:pt idx="5">
                  <c:v>0.5</c:v>
                </c:pt>
                <c:pt idx="6">
                  <c:v>0</c:v>
                </c:pt>
                <c:pt idx="7">
                  <c:v>1</c:v>
                </c:pt>
                <c:pt idx="8">
                  <c:v>0.5</c:v>
                </c:pt>
                <c:pt idx="9">
                  <c:v>0.66666666666666663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45-4C42-803F-2F86B5652A6D}"/>
            </c:ext>
          </c:extLst>
        </c:ser>
        <c:ser>
          <c:idx val="1"/>
          <c:order val="1"/>
          <c:tx>
            <c:strRef>
              <c:f>Detalhado!$P$1</c:f>
              <c:strCache>
                <c:ptCount val="1"/>
                <c:pt idx="0">
                  <c:v>PARCIALMENTE</c:v>
                </c:pt>
              </c:strCache>
            </c:strRef>
          </c:tx>
          <c:invertIfNegative val="1"/>
          <c:cat>
            <c:strRef>
              <c:f>Detalhado!$N$2:$N$12</c:f>
              <c:strCache>
                <c:ptCount val="11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Detalhado!$P$2:$P$12</c:f>
              <c:numCache>
                <c:formatCode>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0.25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0.33333333333333331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45-4C42-803F-2F86B5652A6D}"/>
            </c:ext>
          </c:extLst>
        </c:ser>
        <c:ser>
          <c:idx val="2"/>
          <c:order val="2"/>
          <c:tx>
            <c:strRef>
              <c:f>Detalhado!$Q$1</c:f>
              <c:strCache>
                <c:ptCount val="1"/>
                <c:pt idx="0">
                  <c:v>NÃO</c:v>
                </c:pt>
              </c:strCache>
            </c:strRef>
          </c:tx>
          <c:invertIfNegative val="1"/>
          <c:cat>
            <c:strRef>
              <c:f>Detalhado!$N$2:$N$12</c:f>
              <c:strCache>
                <c:ptCount val="11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Detalhado!$Q$2:$Q$12</c:f>
              <c:numCache>
                <c:formatCode>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0.25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45-4C42-803F-2F86B5652A6D}"/>
            </c:ext>
          </c:extLst>
        </c:ser>
        <c:ser>
          <c:idx val="3"/>
          <c:order val="3"/>
          <c:tx>
            <c:strRef>
              <c:f>Detalhado!$R$1</c:f>
              <c:strCache>
                <c:ptCount val="1"/>
                <c:pt idx="0">
                  <c:v>N/A</c:v>
                </c:pt>
              </c:strCache>
            </c:strRef>
          </c:tx>
          <c:invertIfNegative val="1"/>
          <c:cat>
            <c:strRef>
              <c:f>Detalhado!$N$2:$N$12</c:f>
              <c:strCache>
                <c:ptCount val="11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Detalhado!$R$2:$R$12</c:f>
              <c:numCache>
                <c:formatCode>0%</c:formatCode>
                <c:ptCount val="11"/>
                <c:pt idx="0">
                  <c:v>1</c:v>
                </c:pt>
                <c:pt idx="1">
                  <c:v>0</c:v>
                </c:pt>
                <c:pt idx="2">
                  <c:v>0.25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0.5</c:v>
                </c:pt>
                <c:pt idx="9">
                  <c:v>0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845-4C42-803F-2F86B5652A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75774017"/>
        <c:axId val="1861884241"/>
      </c:barChart>
      <c:catAx>
        <c:axId val="18757740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861884241"/>
        <c:crosses val="autoZero"/>
        <c:auto val="1"/>
        <c:lblAlgn val="ctr"/>
        <c:lblOffset val="100"/>
        <c:noMultiLvlLbl val="1"/>
      </c:catAx>
      <c:valAx>
        <c:axId val="1861884241"/>
        <c:scaling>
          <c:orientation val="minMax"/>
        </c:scaling>
        <c:delete val="0"/>
        <c:axPos val="l"/>
        <c:numFmt formatCode="0%" sourceLinked="1"/>
        <c:majorTickMark val="cross"/>
        <c:minorTickMark val="cross"/>
        <c:tickLblPos val="nextTo"/>
        <c:spPr>
          <a:ln>
            <a:noFill/>
          </a:ln>
        </c:spPr>
        <c:crossAx val="1875774017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pt-BR" sz="1400" b="0" i="0">
                <a:solidFill>
                  <a:srgbClr val="757575"/>
                </a:solidFill>
                <a:latin typeface="+mn-lt"/>
              </a:rPr>
              <a:t>CONSTRUÇÃO DETALHADA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Detalhado!$B$22</c:f>
              <c:strCache>
                <c:ptCount val="1"/>
                <c:pt idx="0">
                  <c:v>SIM</c:v>
                </c:pt>
              </c:strCache>
            </c:strRef>
          </c:tx>
          <c:invertIfNegative val="1"/>
          <c:cat>
            <c:strRef>
              <c:f>Detalhado!$A$23:$A$34</c:f>
              <c:strCache>
                <c:ptCount val="12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roteiro de testes</c:v>
                </c:pt>
                <c:pt idx="9">
                  <c:v>planilha de planejamento e controle do projeto</c:v>
                </c:pt>
                <c:pt idx="10">
                  <c:v>repositório (itens de configuração)</c:v>
                </c:pt>
                <c:pt idx="11">
                  <c:v>requisição de mudanças</c:v>
                </c:pt>
              </c:strCache>
            </c:strRef>
          </c:cat>
          <c:val>
            <c:numRef>
              <c:f>Detalhado!$B$23:$B$34</c:f>
              <c:numCache>
                <c:formatCode>0%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0.66666666666666663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0.8</c:v>
                </c:pt>
                <c:pt idx="8">
                  <c:v>0.8</c:v>
                </c:pt>
                <c:pt idx="9">
                  <c:v>0.4</c:v>
                </c:pt>
                <c:pt idx="10">
                  <c:v>1</c:v>
                </c:pt>
                <c:pt idx="11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EB-4C92-B05B-0AAF8CAC851A}"/>
            </c:ext>
          </c:extLst>
        </c:ser>
        <c:ser>
          <c:idx val="1"/>
          <c:order val="1"/>
          <c:tx>
            <c:strRef>
              <c:f>Detalhado!$C$22</c:f>
              <c:strCache>
                <c:ptCount val="1"/>
                <c:pt idx="0">
                  <c:v>PARCIALMENTE</c:v>
                </c:pt>
              </c:strCache>
            </c:strRef>
          </c:tx>
          <c:invertIfNegative val="1"/>
          <c:cat>
            <c:strRef>
              <c:f>Detalhado!$A$23:$A$34</c:f>
              <c:strCache>
                <c:ptCount val="12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roteiro de testes</c:v>
                </c:pt>
                <c:pt idx="9">
                  <c:v>planilha de planejamento e controle do projeto</c:v>
                </c:pt>
                <c:pt idx="10">
                  <c:v>repositório (itens de configuração)</c:v>
                </c:pt>
                <c:pt idx="11">
                  <c:v>requisição de mudanças</c:v>
                </c:pt>
              </c:strCache>
            </c:strRef>
          </c:cat>
          <c:val>
            <c:numRef>
              <c:f>Detalhado!$C$23:$C$34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0.66666666666666663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EB-4C92-B05B-0AAF8CAC851A}"/>
            </c:ext>
          </c:extLst>
        </c:ser>
        <c:ser>
          <c:idx val="2"/>
          <c:order val="2"/>
          <c:tx>
            <c:strRef>
              <c:f>Detalhado!$D$22</c:f>
              <c:strCache>
                <c:ptCount val="1"/>
                <c:pt idx="0">
                  <c:v>NÃO</c:v>
                </c:pt>
              </c:strCache>
            </c:strRef>
          </c:tx>
          <c:invertIfNegative val="1"/>
          <c:cat>
            <c:strRef>
              <c:f>Detalhado!$A$23:$A$34</c:f>
              <c:strCache>
                <c:ptCount val="12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roteiro de testes</c:v>
                </c:pt>
                <c:pt idx="9">
                  <c:v>planilha de planejamento e controle do projeto</c:v>
                </c:pt>
                <c:pt idx="10">
                  <c:v>repositório (itens de configuração)</c:v>
                </c:pt>
                <c:pt idx="11">
                  <c:v>requisição de mudanças</c:v>
                </c:pt>
              </c:strCache>
            </c:strRef>
          </c:cat>
          <c:val>
            <c:numRef>
              <c:f>Detalhado!$D$23:$D$34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0.2</c:v>
                </c:pt>
                <c:pt idx="8">
                  <c:v>0.2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1EB-4C92-B05B-0AAF8CAC851A}"/>
            </c:ext>
          </c:extLst>
        </c:ser>
        <c:ser>
          <c:idx val="3"/>
          <c:order val="3"/>
          <c:tx>
            <c:strRef>
              <c:f>Detalhado!$E$22</c:f>
              <c:strCache>
                <c:ptCount val="1"/>
                <c:pt idx="0">
                  <c:v>N/A</c:v>
                </c:pt>
              </c:strCache>
            </c:strRef>
          </c:tx>
          <c:invertIfNegative val="1"/>
          <c:cat>
            <c:strRef>
              <c:f>Detalhado!$A$23:$A$34</c:f>
              <c:strCache>
                <c:ptCount val="12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roteiro de testes</c:v>
                </c:pt>
                <c:pt idx="9">
                  <c:v>planilha de planejamento e controle do projeto</c:v>
                </c:pt>
                <c:pt idx="10">
                  <c:v>repositório (itens de configuração)</c:v>
                </c:pt>
                <c:pt idx="11">
                  <c:v>requisição de mudanças</c:v>
                </c:pt>
              </c:strCache>
            </c:strRef>
          </c:cat>
          <c:val>
            <c:numRef>
              <c:f>Detalhado!$E$23:$E$34</c:f>
              <c:numCache>
                <c:formatCode>0%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0.33333333333333331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0.6</c:v>
                </c:pt>
                <c:pt idx="10">
                  <c:v>0</c:v>
                </c:pt>
                <c:pt idx="11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1EB-4C92-B05B-0AAF8CAC85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14317569"/>
        <c:axId val="1903283195"/>
      </c:barChart>
      <c:catAx>
        <c:axId val="9143175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903283195"/>
        <c:crosses val="autoZero"/>
        <c:auto val="1"/>
        <c:lblAlgn val="ctr"/>
        <c:lblOffset val="100"/>
        <c:noMultiLvlLbl val="1"/>
      </c:catAx>
      <c:valAx>
        <c:axId val="1903283195"/>
        <c:scaling>
          <c:orientation val="minMax"/>
        </c:scaling>
        <c:delete val="0"/>
        <c:axPos val="l"/>
        <c:numFmt formatCode="0%" sourceLinked="1"/>
        <c:majorTickMark val="cross"/>
        <c:minorTickMark val="cross"/>
        <c:tickLblPos val="nextTo"/>
        <c:spPr>
          <a:ln>
            <a:noFill/>
          </a:ln>
        </c:spPr>
        <c:crossAx val="914317569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pt-BR" sz="1400" b="0" i="0">
                <a:solidFill>
                  <a:srgbClr val="757575"/>
                </a:solidFill>
                <a:latin typeface="+mn-lt"/>
              </a:rPr>
              <a:t>TRANSIÇÃO DETALHADA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Detalhado!$N$24</c:f>
              <c:strCache>
                <c:ptCount val="1"/>
                <c:pt idx="0">
                  <c:v>SIM</c:v>
                </c:pt>
              </c:strCache>
            </c:strRef>
          </c:tx>
          <c:invertIfNegative val="1"/>
          <c:cat>
            <c:strRef>
              <c:f>Detalhado!$M$25:$M$37</c:f>
              <c:strCache>
                <c:ptCount val="13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codigo fonte </c:v>
                </c:pt>
                <c:pt idx="7">
                  <c:v>roteiro de testes</c:v>
                </c:pt>
                <c:pt idx="8">
                  <c:v>guia de implantação</c:v>
                </c:pt>
                <c:pt idx="9">
                  <c:v>manual do usuário (pode ser help on-line)</c:v>
                </c:pt>
                <c:pt idx="10">
                  <c:v>planilha de planejamento e controle do projeto</c:v>
                </c:pt>
                <c:pt idx="11">
                  <c:v>repositório (itens de configuração)</c:v>
                </c:pt>
                <c:pt idx="12">
                  <c:v>requisição de mudanças</c:v>
                </c:pt>
              </c:strCache>
            </c:strRef>
          </c:cat>
          <c:val>
            <c:numRef>
              <c:f>Detalhado!$N$25:$N$37</c:f>
              <c:numCache>
                <c:formatCode>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0.4</c:v>
                </c:pt>
                <c:pt idx="11">
                  <c:v>1</c:v>
                </c:pt>
                <c:pt idx="12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34-4E87-B013-CFBF3FFD3EB0}"/>
            </c:ext>
          </c:extLst>
        </c:ser>
        <c:ser>
          <c:idx val="1"/>
          <c:order val="1"/>
          <c:tx>
            <c:strRef>
              <c:f>Detalhado!$O$24</c:f>
              <c:strCache>
                <c:ptCount val="1"/>
                <c:pt idx="0">
                  <c:v>PARCIALMENTE</c:v>
                </c:pt>
              </c:strCache>
            </c:strRef>
          </c:tx>
          <c:invertIfNegative val="1"/>
          <c:cat>
            <c:strRef>
              <c:f>Detalhado!$M$25:$M$37</c:f>
              <c:strCache>
                <c:ptCount val="13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codigo fonte </c:v>
                </c:pt>
                <c:pt idx="7">
                  <c:v>roteiro de testes</c:v>
                </c:pt>
                <c:pt idx="8">
                  <c:v>guia de implantação</c:v>
                </c:pt>
                <c:pt idx="9">
                  <c:v>manual do usuário (pode ser help on-line)</c:v>
                </c:pt>
                <c:pt idx="10">
                  <c:v>planilha de planejamento e controle do projeto</c:v>
                </c:pt>
                <c:pt idx="11">
                  <c:v>repositório (itens de configuração)</c:v>
                </c:pt>
                <c:pt idx="12">
                  <c:v>requisição de mudanças</c:v>
                </c:pt>
              </c:strCache>
            </c:strRef>
          </c:cat>
          <c:val>
            <c:numRef>
              <c:f>Detalhado!$O$25:$O$37</c:f>
              <c:numCache>
                <c:formatCode>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0.2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34-4E87-B013-CFBF3FFD3EB0}"/>
            </c:ext>
          </c:extLst>
        </c:ser>
        <c:ser>
          <c:idx val="2"/>
          <c:order val="2"/>
          <c:tx>
            <c:strRef>
              <c:f>Detalhado!$P$24</c:f>
              <c:strCache>
                <c:ptCount val="1"/>
                <c:pt idx="0">
                  <c:v>NÃO</c:v>
                </c:pt>
              </c:strCache>
            </c:strRef>
          </c:tx>
          <c:invertIfNegative val="1"/>
          <c:cat>
            <c:strRef>
              <c:f>Detalhado!$M$25:$M$37</c:f>
              <c:strCache>
                <c:ptCount val="13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codigo fonte </c:v>
                </c:pt>
                <c:pt idx="7">
                  <c:v>roteiro de testes</c:v>
                </c:pt>
                <c:pt idx="8">
                  <c:v>guia de implantação</c:v>
                </c:pt>
                <c:pt idx="9">
                  <c:v>manual do usuário (pode ser help on-line)</c:v>
                </c:pt>
                <c:pt idx="10">
                  <c:v>planilha de planejamento e controle do projeto</c:v>
                </c:pt>
                <c:pt idx="11">
                  <c:v>repositório (itens de configuração)</c:v>
                </c:pt>
                <c:pt idx="12">
                  <c:v>requisição de mudanças</c:v>
                </c:pt>
              </c:strCache>
            </c:strRef>
          </c:cat>
          <c:val>
            <c:numRef>
              <c:f>Detalhado!$P$25:$P$37</c:f>
              <c:numCache>
                <c:formatCode>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34-4E87-B013-CFBF3FFD3EB0}"/>
            </c:ext>
          </c:extLst>
        </c:ser>
        <c:ser>
          <c:idx val="3"/>
          <c:order val="3"/>
          <c:tx>
            <c:strRef>
              <c:f>Detalhado!$Q$24</c:f>
              <c:strCache>
                <c:ptCount val="1"/>
                <c:pt idx="0">
                  <c:v>N/A</c:v>
                </c:pt>
              </c:strCache>
            </c:strRef>
          </c:tx>
          <c:invertIfNegative val="1"/>
          <c:cat>
            <c:strRef>
              <c:f>Detalhado!$M$25:$M$37</c:f>
              <c:strCache>
                <c:ptCount val="13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codigo fonte </c:v>
                </c:pt>
                <c:pt idx="7">
                  <c:v>roteiro de testes</c:v>
                </c:pt>
                <c:pt idx="8">
                  <c:v>guia de implantação</c:v>
                </c:pt>
                <c:pt idx="9">
                  <c:v>manual do usuário (pode ser help on-line)</c:v>
                </c:pt>
                <c:pt idx="10">
                  <c:v>planilha de planejamento e controle do projeto</c:v>
                </c:pt>
                <c:pt idx="11">
                  <c:v>repositório (itens de configuração)</c:v>
                </c:pt>
                <c:pt idx="12">
                  <c:v>requisição de mudanças</c:v>
                </c:pt>
              </c:strCache>
            </c:strRef>
          </c:cat>
          <c:val>
            <c:numRef>
              <c:f>Detalhado!$Q$25:$Q$37</c:f>
              <c:numCache>
                <c:formatCode>0%</c:formatCode>
                <c:ptCount val="1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0.4</c:v>
                </c:pt>
                <c:pt idx="11">
                  <c:v>0</c:v>
                </c:pt>
                <c:pt idx="12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134-4E87-B013-CFBF3FFD3E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48502625"/>
        <c:axId val="1467582835"/>
      </c:barChart>
      <c:catAx>
        <c:axId val="10485026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467582835"/>
        <c:crosses val="autoZero"/>
        <c:auto val="1"/>
        <c:lblAlgn val="ctr"/>
        <c:lblOffset val="100"/>
        <c:noMultiLvlLbl val="1"/>
      </c:catAx>
      <c:valAx>
        <c:axId val="1467582835"/>
        <c:scaling>
          <c:orientation val="minMax"/>
        </c:scaling>
        <c:delete val="0"/>
        <c:axPos val="l"/>
        <c:numFmt formatCode="0%" sourceLinked="1"/>
        <c:majorTickMark val="cross"/>
        <c:minorTickMark val="cross"/>
        <c:tickLblPos val="nextTo"/>
        <c:spPr>
          <a:ln>
            <a:noFill/>
          </a:ln>
        </c:spPr>
        <c:crossAx val="1048502625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7</xdr:row>
      <xdr:rowOff>133350</xdr:rowOff>
    </xdr:from>
    <xdr:ext cx="4210050" cy="2152650"/>
    <xdr:graphicFrame macro="">
      <xdr:nvGraphicFramePr>
        <xdr:cNvPr id="1020250030" name="Chart 1">
          <a:extLst>
            <a:ext uri="{FF2B5EF4-FFF2-40B4-BE49-F238E27FC236}">
              <a16:creationId xmlns:a16="http://schemas.microsoft.com/office/drawing/2014/main" id="{00000000-0008-0000-0000-0000AEC7CF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781800" cy="3971925"/>
    <xdr:graphicFrame macro="">
      <xdr:nvGraphicFramePr>
        <xdr:cNvPr id="313132834" name="Chart 2">
          <a:extLst>
            <a:ext uri="{FF2B5EF4-FFF2-40B4-BE49-F238E27FC236}">
              <a16:creationId xmlns:a16="http://schemas.microsoft.com/office/drawing/2014/main" id="{00000000-0008-0000-0100-00002207AA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10</xdr:col>
      <xdr:colOff>228600</xdr:colOff>
      <xdr:row>0</xdr:row>
      <xdr:rowOff>0</xdr:rowOff>
    </xdr:from>
    <xdr:ext cx="6657975" cy="3971925"/>
    <xdr:graphicFrame macro="">
      <xdr:nvGraphicFramePr>
        <xdr:cNvPr id="1984019189" name="Chart 3">
          <a:extLst>
            <a:ext uri="{FF2B5EF4-FFF2-40B4-BE49-F238E27FC236}">
              <a16:creationId xmlns:a16="http://schemas.microsoft.com/office/drawing/2014/main" id="{00000000-0008-0000-0100-0000F5BA41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0</xdr:col>
      <xdr:colOff>0</xdr:colOff>
      <xdr:row>20</xdr:row>
      <xdr:rowOff>0</xdr:rowOff>
    </xdr:from>
    <xdr:ext cx="6800850" cy="3933825"/>
    <xdr:graphicFrame macro="">
      <xdr:nvGraphicFramePr>
        <xdr:cNvPr id="1984758932" name="Chart 4">
          <a:extLst>
            <a:ext uri="{FF2B5EF4-FFF2-40B4-BE49-F238E27FC236}">
              <a16:creationId xmlns:a16="http://schemas.microsoft.com/office/drawing/2014/main" id="{00000000-0008-0000-0100-000094044D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10</xdr:col>
      <xdr:colOff>238125</xdr:colOff>
      <xdr:row>20</xdr:row>
      <xdr:rowOff>9525</xdr:rowOff>
    </xdr:from>
    <xdr:ext cx="6648450" cy="3924300"/>
    <xdr:graphicFrame macro="">
      <xdr:nvGraphicFramePr>
        <xdr:cNvPr id="1001971863" name="Chart 5">
          <a:extLst>
            <a:ext uri="{FF2B5EF4-FFF2-40B4-BE49-F238E27FC236}">
              <a16:creationId xmlns:a16="http://schemas.microsoft.com/office/drawing/2014/main" id="{00000000-0008-0000-0100-000097E0B8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workbookViewId="0">
      <selection sqref="A1:B1"/>
    </sheetView>
  </sheetViews>
  <sheetFormatPr defaultColWidth="14.42578125" defaultRowHeight="15" customHeight="1" x14ac:dyDescent="0.25"/>
  <cols>
    <col min="1" max="1" width="24.28515625" customWidth="1"/>
    <col min="2" max="2" width="39" customWidth="1"/>
    <col min="3" max="26" width="8.7109375" customWidth="1"/>
  </cols>
  <sheetData>
    <row r="1" spans="1:2" ht="18.75" x14ac:dyDescent="0.3">
      <c r="A1" s="45" t="s">
        <v>0</v>
      </c>
      <c r="B1" s="38"/>
    </row>
    <row r="2" spans="1:2" x14ac:dyDescent="0.25">
      <c r="A2" s="1" t="s">
        <v>1</v>
      </c>
      <c r="B2" s="2" t="s">
        <v>2</v>
      </c>
    </row>
    <row r="3" spans="1:2" x14ac:dyDescent="0.25">
      <c r="A3" s="1" t="s">
        <v>3</v>
      </c>
      <c r="B3" s="3">
        <f>'Ver-Iniciação1'!$F$2</f>
        <v>0.77272727272727271</v>
      </c>
    </row>
    <row r="4" spans="1:2" x14ac:dyDescent="0.25">
      <c r="A4" s="1" t="s">
        <v>4</v>
      </c>
      <c r="B4" s="3">
        <f>'Ver-Elaboração1'!$F$2</f>
        <v>0.85</v>
      </c>
    </row>
    <row r="5" spans="1:2" x14ac:dyDescent="0.25">
      <c r="A5" s="1" t="s">
        <v>5</v>
      </c>
      <c r="B5" s="3">
        <f>'Ver-Construção1'!$F$2</f>
        <v>0.94736842105263153</v>
      </c>
    </row>
    <row r="6" spans="1:2" x14ac:dyDescent="0.25">
      <c r="A6" s="1" t="s">
        <v>6</v>
      </c>
      <c r="B6" s="3">
        <f>'Ver-Transição1'!$F$2</f>
        <v>0.88888888888888884</v>
      </c>
    </row>
    <row r="8" spans="1:2" x14ac:dyDescent="0.25">
      <c r="B8" s="4"/>
    </row>
    <row r="9" spans="1:2" x14ac:dyDescent="0.25">
      <c r="B9" s="4"/>
    </row>
    <row r="10" spans="1:2" x14ac:dyDescent="0.25">
      <c r="B10" s="4"/>
    </row>
    <row r="11" spans="1:2" x14ac:dyDescent="0.25">
      <c r="B11" s="4"/>
    </row>
    <row r="12" spans="1:2" x14ac:dyDescent="0.25">
      <c r="B12" s="4"/>
    </row>
    <row r="13" spans="1:2" x14ac:dyDescent="0.25">
      <c r="B13" s="4"/>
    </row>
    <row r="14" spans="1:2" x14ac:dyDescent="0.25">
      <c r="B14" s="4"/>
    </row>
    <row r="15" spans="1:2" x14ac:dyDescent="0.25">
      <c r="B15" s="4"/>
    </row>
    <row r="16" spans="1:2" x14ac:dyDescent="0.25">
      <c r="B16" s="4"/>
    </row>
    <row r="17" spans="2:2" x14ac:dyDescent="0.25">
      <c r="B17" s="4"/>
    </row>
    <row r="18" spans="2:2" x14ac:dyDescent="0.25">
      <c r="B18" s="4"/>
    </row>
    <row r="19" spans="2:2" x14ac:dyDescent="0.25">
      <c r="B19" s="4"/>
    </row>
    <row r="20" spans="2:2" x14ac:dyDescent="0.25">
      <c r="B20" s="4"/>
    </row>
    <row r="21" spans="2:2" ht="15.75" customHeight="1" x14ac:dyDescent="0.25">
      <c r="B21" s="4"/>
    </row>
    <row r="22" spans="2:2" ht="15.75" customHeight="1" x14ac:dyDescent="0.25">
      <c r="B22" s="4"/>
    </row>
    <row r="23" spans="2:2" ht="15.75" customHeight="1" x14ac:dyDescent="0.25">
      <c r="B23" s="4"/>
    </row>
    <row r="24" spans="2:2" ht="15.75" customHeight="1" x14ac:dyDescent="0.25">
      <c r="B24" s="4"/>
    </row>
    <row r="25" spans="2:2" ht="15.75" customHeight="1" x14ac:dyDescent="0.25">
      <c r="B25" s="4"/>
    </row>
    <row r="26" spans="2:2" ht="15.75" customHeight="1" x14ac:dyDescent="0.25">
      <c r="B26" s="4"/>
    </row>
    <row r="27" spans="2:2" ht="15.75" customHeight="1" x14ac:dyDescent="0.25">
      <c r="B27" s="4"/>
    </row>
    <row r="28" spans="2:2" ht="15.75" customHeight="1" x14ac:dyDescent="0.25">
      <c r="B28" s="4"/>
    </row>
    <row r="29" spans="2:2" ht="15.75" customHeight="1" x14ac:dyDescent="0.25">
      <c r="B29" s="4"/>
    </row>
    <row r="30" spans="2:2" ht="15.75" customHeight="1" x14ac:dyDescent="0.25">
      <c r="B30" s="4"/>
    </row>
    <row r="31" spans="2:2" ht="15.75" customHeight="1" x14ac:dyDescent="0.25">
      <c r="B31" s="4"/>
    </row>
    <row r="32" spans="2:2" ht="15.75" customHeight="1" x14ac:dyDescent="0.25">
      <c r="B32" s="4"/>
    </row>
    <row r="33" spans="2:2" ht="15.75" customHeight="1" x14ac:dyDescent="0.25">
      <c r="B33" s="4"/>
    </row>
    <row r="34" spans="2:2" ht="15.75" customHeight="1" x14ac:dyDescent="0.25">
      <c r="B34" s="4"/>
    </row>
    <row r="35" spans="2:2" ht="15.75" customHeight="1" x14ac:dyDescent="0.25">
      <c r="B35" s="4"/>
    </row>
    <row r="36" spans="2:2" ht="15.75" customHeight="1" x14ac:dyDescent="0.25">
      <c r="B36" s="4"/>
    </row>
    <row r="37" spans="2:2" ht="15.75" customHeight="1" x14ac:dyDescent="0.25">
      <c r="B37" s="4"/>
    </row>
    <row r="38" spans="2:2" ht="15.75" customHeight="1" x14ac:dyDescent="0.25">
      <c r="B38" s="4"/>
    </row>
    <row r="39" spans="2:2" ht="15.75" customHeight="1" x14ac:dyDescent="0.25">
      <c r="B39" s="4"/>
    </row>
    <row r="40" spans="2:2" ht="15.75" customHeight="1" x14ac:dyDescent="0.25">
      <c r="B40" s="4"/>
    </row>
    <row r="41" spans="2:2" ht="15.75" customHeight="1" x14ac:dyDescent="0.25">
      <c r="B41" s="4"/>
    </row>
    <row r="42" spans="2:2" ht="15.75" customHeight="1" x14ac:dyDescent="0.25">
      <c r="B42" s="4"/>
    </row>
    <row r="43" spans="2:2" ht="15.75" customHeight="1" x14ac:dyDescent="0.25">
      <c r="B43" s="4"/>
    </row>
    <row r="44" spans="2:2" ht="15.75" customHeight="1" x14ac:dyDescent="0.25">
      <c r="B44" s="4"/>
    </row>
    <row r="45" spans="2:2" ht="15.75" customHeight="1" x14ac:dyDescent="0.25">
      <c r="B45" s="4"/>
    </row>
    <row r="46" spans="2:2" ht="15.75" customHeight="1" x14ac:dyDescent="0.25">
      <c r="B46" s="4"/>
    </row>
    <row r="47" spans="2:2" ht="15.75" customHeight="1" x14ac:dyDescent="0.25">
      <c r="B47" s="4"/>
    </row>
    <row r="48" spans="2:2" ht="15.75" customHeight="1" x14ac:dyDescent="0.25">
      <c r="B48" s="4"/>
    </row>
    <row r="49" spans="2:2" ht="15.75" customHeight="1" x14ac:dyDescent="0.25">
      <c r="B49" s="4"/>
    </row>
    <row r="50" spans="2:2" ht="15.75" customHeight="1" x14ac:dyDescent="0.25">
      <c r="B50" s="4"/>
    </row>
    <row r="51" spans="2:2" ht="15.75" customHeight="1" x14ac:dyDescent="0.25">
      <c r="B51" s="4"/>
    </row>
    <row r="52" spans="2:2" ht="15.75" customHeight="1" x14ac:dyDescent="0.25">
      <c r="B52" s="4"/>
    </row>
    <row r="53" spans="2:2" ht="15.75" customHeight="1" x14ac:dyDescent="0.25">
      <c r="B53" s="4"/>
    </row>
    <row r="54" spans="2:2" ht="15.75" customHeight="1" x14ac:dyDescent="0.25">
      <c r="B54" s="4"/>
    </row>
    <row r="55" spans="2:2" ht="15.75" customHeight="1" x14ac:dyDescent="0.25">
      <c r="B55" s="4"/>
    </row>
    <row r="56" spans="2:2" ht="15.75" customHeight="1" x14ac:dyDescent="0.25">
      <c r="B56" s="4"/>
    </row>
    <row r="57" spans="2:2" ht="15.75" customHeight="1" x14ac:dyDescent="0.25">
      <c r="B57" s="4"/>
    </row>
    <row r="58" spans="2:2" ht="15.75" customHeight="1" x14ac:dyDescent="0.25">
      <c r="B58" s="4"/>
    </row>
    <row r="59" spans="2:2" ht="15.75" customHeight="1" x14ac:dyDescent="0.25">
      <c r="B59" s="4"/>
    </row>
    <row r="60" spans="2:2" ht="15.75" customHeight="1" x14ac:dyDescent="0.25">
      <c r="B60" s="4"/>
    </row>
    <row r="61" spans="2:2" ht="15.75" customHeight="1" x14ac:dyDescent="0.25">
      <c r="B61" s="4"/>
    </row>
    <row r="62" spans="2:2" ht="15.75" customHeight="1" x14ac:dyDescent="0.25">
      <c r="B62" s="4"/>
    </row>
    <row r="63" spans="2:2" ht="15.75" customHeight="1" x14ac:dyDescent="0.25">
      <c r="B63" s="4"/>
    </row>
    <row r="64" spans="2:2" ht="15.75" customHeight="1" x14ac:dyDescent="0.25">
      <c r="B64" s="4"/>
    </row>
    <row r="65" spans="2:2" ht="15.75" customHeight="1" x14ac:dyDescent="0.25">
      <c r="B65" s="4"/>
    </row>
    <row r="66" spans="2:2" ht="15.75" customHeight="1" x14ac:dyDescent="0.25">
      <c r="B66" s="4"/>
    </row>
    <row r="67" spans="2:2" ht="15.75" customHeight="1" x14ac:dyDescent="0.25">
      <c r="B67" s="4"/>
    </row>
    <row r="68" spans="2:2" ht="15.75" customHeight="1" x14ac:dyDescent="0.25">
      <c r="B68" s="4"/>
    </row>
    <row r="69" spans="2:2" ht="15.75" customHeight="1" x14ac:dyDescent="0.25">
      <c r="B69" s="4"/>
    </row>
    <row r="70" spans="2:2" ht="15.75" customHeight="1" x14ac:dyDescent="0.25">
      <c r="B70" s="4"/>
    </row>
    <row r="71" spans="2:2" ht="15.75" customHeight="1" x14ac:dyDescent="0.25">
      <c r="B71" s="4"/>
    </row>
    <row r="72" spans="2:2" ht="15.75" customHeight="1" x14ac:dyDescent="0.25">
      <c r="B72" s="4"/>
    </row>
    <row r="73" spans="2:2" ht="15.75" customHeight="1" x14ac:dyDescent="0.25">
      <c r="B73" s="4"/>
    </row>
    <row r="74" spans="2:2" ht="15.75" customHeight="1" x14ac:dyDescent="0.25">
      <c r="B74" s="4"/>
    </row>
    <row r="75" spans="2:2" ht="15.75" customHeight="1" x14ac:dyDescent="0.25">
      <c r="B75" s="4"/>
    </row>
    <row r="76" spans="2:2" ht="15.75" customHeight="1" x14ac:dyDescent="0.25">
      <c r="B76" s="4"/>
    </row>
    <row r="77" spans="2:2" ht="15.75" customHeight="1" x14ac:dyDescent="0.25">
      <c r="B77" s="4"/>
    </row>
    <row r="78" spans="2:2" ht="15.75" customHeight="1" x14ac:dyDescent="0.25">
      <c r="B78" s="4"/>
    </row>
    <row r="79" spans="2:2" ht="15.75" customHeight="1" x14ac:dyDescent="0.25">
      <c r="B79" s="4"/>
    </row>
    <row r="80" spans="2:2" ht="15.75" customHeight="1" x14ac:dyDescent="0.25">
      <c r="B80" s="4"/>
    </row>
    <row r="81" spans="2:2" ht="15.75" customHeight="1" x14ac:dyDescent="0.25">
      <c r="B81" s="4"/>
    </row>
    <row r="82" spans="2:2" ht="15.75" customHeight="1" x14ac:dyDescent="0.25">
      <c r="B82" s="4"/>
    </row>
    <row r="83" spans="2:2" ht="15.75" customHeight="1" x14ac:dyDescent="0.25">
      <c r="B83" s="4"/>
    </row>
    <row r="84" spans="2:2" ht="15.75" customHeight="1" x14ac:dyDescent="0.25">
      <c r="B84" s="4"/>
    </row>
    <row r="85" spans="2:2" ht="15.75" customHeight="1" x14ac:dyDescent="0.25">
      <c r="B85" s="4"/>
    </row>
    <row r="86" spans="2:2" ht="15.75" customHeight="1" x14ac:dyDescent="0.25">
      <c r="B86" s="4"/>
    </row>
    <row r="87" spans="2:2" ht="15.75" customHeight="1" x14ac:dyDescent="0.25">
      <c r="B87" s="4"/>
    </row>
    <row r="88" spans="2:2" ht="15.75" customHeight="1" x14ac:dyDescent="0.25">
      <c r="B88" s="4"/>
    </row>
    <row r="89" spans="2:2" ht="15.75" customHeight="1" x14ac:dyDescent="0.25">
      <c r="B89" s="4"/>
    </row>
    <row r="90" spans="2:2" ht="15.75" customHeight="1" x14ac:dyDescent="0.25">
      <c r="B90" s="4"/>
    </row>
    <row r="91" spans="2:2" ht="15.75" customHeight="1" x14ac:dyDescent="0.25">
      <c r="B91" s="4"/>
    </row>
    <row r="92" spans="2:2" ht="15.75" customHeight="1" x14ac:dyDescent="0.25">
      <c r="B92" s="4"/>
    </row>
    <row r="93" spans="2:2" ht="15.75" customHeight="1" x14ac:dyDescent="0.25">
      <c r="B93" s="4"/>
    </row>
    <row r="94" spans="2:2" ht="15.75" customHeight="1" x14ac:dyDescent="0.25">
      <c r="B94" s="4"/>
    </row>
    <row r="95" spans="2:2" ht="15.75" customHeight="1" x14ac:dyDescent="0.25">
      <c r="B95" s="4"/>
    </row>
    <row r="96" spans="2:2" ht="15.75" customHeight="1" x14ac:dyDescent="0.25">
      <c r="B96" s="4"/>
    </row>
    <row r="97" spans="2:2" ht="15.75" customHeight="1" x14ac:dyDescent="0.25">
      <c r="B97" s="4"/>
    </row>
    <row r="98" spans="2:2" ht="15.75" customHeight="1" x14ac:dyDescent="0.25">
      <c r="B98" s="4"/>
    </row>
    <row r="99" spans="2:2" ht="15.75" customHeight="1" x14ac:dyDescent="0.25">
      <c r="B99" s="4"/>
    </row>
    <row r="100" spans="2:2" ht="15.75" customHeight="1" x14ac:dyDescent="0.25">
      <c r="B100" s="4"/>
    </row>
    <row r="101" spans="2:2" ht="15.75" customHeight="1" x14ac:dyDescent="0.25">
      <c r="B101" s="4"/>
    </row>
    <row r="102" spans="2:2" ht="15.75" customHeight="1" x14ac:dyDescent="0.25">
      <c r="B102" s="4"/>
    </row>
    <row r="103" spans="2:2" ht="15.75" customHeight="1" x14ac:dyDescent="0.25">
      <c r="B103" s="4"/>
    </row>
    <row r="104" spans="2:2" ht="15.75" customHeight="1" x14ac:dyDescent="0.25">
      <c r="B104" s="4"/>
    </row>
    <row r="105" spans="2:2" ht="15.75" customHeight="1" x14ac:dyDescent="0.25">
      <c r="B105" s="4"/>
    </row>
    <row r="106" spans="2:2" ht="15.75" customHeight="1" x14ac:dyDescent="0.25">
      <c r="B106" s="4"/>
    </row>
    <row r="107" spans="2:2" ht="15.75" customHeight="1" x14ac:dyDescent="0.25">
      <c r="B107" s="4"/>
    </row>
    <row r="108" spans="2:2" ht="15.75" customHeight="1" x14ac:dyDescent="0.25">
      <c r="B108" s="4"/>
    </row>
    <row r="109" spans="2:2" ht="15.75" customHeight="1" x14ac:dyDescent="0.25">
      <c r="B109" s="4"/>
    </row>
    <row r="110" spans="2:2" ht="15.75" customHeight="1" x14ac:dyDescent="0.25">
      <c r="B110" s="4"/>
    </row>
    <row r="111" spans="2:2" ht="15.75" customHeight="1" x14ac:dyDescent="0.25">
      <c r="B111" s="4"/>
    </row>
    <row r="112" spans="2:2" ht="15.75" customHeight="1" x14ac:dyDescent="0.25">
      <c r="B112" s="4"/>
    </row>
    <row r="113" spans="2:2" ht="15.75" customHeight="1" x14ac:dyDescent="0.25">
      <c r="B113" s="4"/>
    </row>
    <row r="114" spans="2:2" ht="15.75" customHeight="1" x14ac:dyDescent="0.25">
      <c r="B114" s="4"/>
    </row>
    <row r="115" spans="2:2" ht="15.75" customHeight="1" x14ac:dyDescent="0.25">
      <c r="B115" s="4"/>
    </row>
    <row r="116" spans="2:2" ht="15.75" customHeight="1" x14ac:dyDescent="0.25">
      <c r="B116" s="4"/>
    </row>
    <row r="117" spans="2:2" ht="15.75" customHeight="1" x14ac:dyDescent="0.25">
      <c r="B117" s="4"/>
    </row>
    <row r="118" spans="2:2" ht="15.75" customHeight="1" x14ac:dyDescent="0.25">
      <c r="B118" s="4"/>
    </row>
    <row r="119" spans="2:2" ht="15.75" customHeight="1" x14ac:dyDescent="0.25">
      <c r="B119" s="4"/>
    </row>
    <row r="120" spans="2:2" ht="15.75" customHeight="1" x14ac:dyDescent="0.25">
      <c r="B120" s="4"/>
    </row>
    <row r="121" spans="2:2" ht="15.75" customHeight="1" x14ac:dyDescent="0.25">
      <c r="B121" s="4"/>
    </row>
    <row r="122" spans="2:2" ht="15.75" customHeight="1" x14ac:dyDescent="0.25">
      <c r="B122" s="4"/>
    </row>
    <row r="123" spans="2:2" ht="15.75" customHeight="1" x14ac:dyDescent="0.25">
      <c r="B123" s="4"/>
    </row>
    <row r="124" spans="2:2" ht="15.75" customHeight="1" x14ac:dyDescent="0.25">
      <c r="B124" s="4"/>
    </row>
    <row r="125" spans="2:2" ht="15.75" customHeight="1" x14ac:dyDescent="0.25">
      <c r="B125" s="4"/>
    </row>
    <row r="126" spans="2:2" ht="15.75" customHeight="1" x14ac:dyDescent="0.25">
      <c r="B126" s="4"/>
    </row>
    <row r="127" spans="2:2" ht="15.75" customHeight="1" x14ac:dyDescent="0.25">
      <c r="B127" s="4"/>
    </row>
    <row r="128" spans="2:2" ht="15.75" customHeight="1" x14ac:dyDescent="0.25">
      <c r="B128" s="4"/>
    </row>
    <row r="129" spans="2:2" ht="15.75" customHeight="1" x14ac:dyDescent="0.25">
      <c r="B129" s="4"/>
    </row>
    <row r="130" spans="2:2" ht="15.75" customHeight="1" x14ac:dyDescent="0.25">
      <c r="B130" s="4"/>
    </row>
    <row r="131" spans="2:2" ht="15.75" customHeight="1" x14ac:dyDescent="0.25">
      <c r="B131" s="4"/>
    </row>
    <row r="132" spans="2:2" ht="15.75" customHeight="1" x14ac:dyDescent="0.25">
      <c r="B132" s="4"/>
    </row>
    <row r="133" spans="2:2" ht="15.75" customHeight="1" x14ac:dyDescent="0.25">
      <c r="B133" s="4"/>
    </row>
    <row r="134" spans="2:2" ht="15.75" customHeight="1" x14ac:dyDescent="0.25">
      <c r="B134" s="4"/>
    </row>
    <row r="135" spans="2:2" ht="15.75" customHeight="1" x14ac:dyDescent="0.25">
      <c r="B135" s="4"/>
    </row>
    <row r="136" spans="2:2" ht="15.75" customHeight="1" x14ac:dyDescent="0.25">
      <c r="B136" s="4"/>
    </row>
    <row r="137" spans="2:2" ht="15.75" customHeight="1" x14ac:dyDescent="0.25">
      <c r="B137" s="4"/>
    </row>
    <row r="138" spans="2:2" ht="15.75" customHeight="1" x14ac:dyDescent="0.25">
      <c r="B138" s="4"/>
    </row>
    <row r="139" spans="2:2" ht="15.75" customHeight="1" x14ac:dyDescent="0.25">
      <c r="B139" s="4"/>
    </row>
    <row r="140" spans="2:2" ht="15.75" customHeight="1" x14ac:dyDescent="0.25">
      <c r="B140" s="4"/>
    </row>
    <row r="141" spans="2:2" ht="15.75" customHeight="1" x14ac:dyDescent="0.25">
      <c r="B141" s="4"/>
    </row>
    <row r="142" spans="2:2" ht="15.75" customHeight="1" x14ac:dyDescent="0.25">
      <c r="B142" s="4"/>
    </row>
    <row r="143" spans="2:2" ht="15.75" customHeight="1" x14ac:dyDescent="0.25">
      <c r="B143" s="4"/>
    </row>
    <row r="144" spans="2:2" ht="15.75" customHeight="1" x14ac:dyDescent="0.25">
      <c r="B144" s="4"/>
    </row>
    <row r="145" spans="2:2" ht="15.75" customHeight="1" x14ac:dyDescent="0.25">
      <c r="B145" s="4"/>
    </row>
    <row r="146" spans="2:2" ht="15.75" customHeight="1" x14ac:dyDescent="0.25">
      <c r="B146" s="4"/>
    </row>
    <row r="147" spans="2:2" ht="15.75" customHeight="1" x14ac:dyDescent="0.25">
      <c r="B147" s="4"/>
    </row>
    <row r="148" spans="2:2" ht="15.75" customHeight="1" x14ac:dyDescent="0.25">
      <c r="B148" s="4"/>
    </row>
    <row r="149" spans="2:2" ht="15.75" customHeight="1" x14ac:dyDescent="0.25">
      <c r="B149" s="4"/>
    </row>
    <row r="150" spans="2:2" ht="15.75" customHeight="1" x14ac:dyDescent="0.25">
      <c r="B150" s="4"/>
    </row>
    <row r="151" spans="2:2" ht="15.75" customHeight="1" x14ac:dyDescent="0.25">
      <c r="B151" s="4"/>
    </row>
    <row r="152" spans="2:2" ht="15.75" customHeight="1" x14ac:dyDescent="0.25">
      <c r="B152" s="4"/>
    </row>
    <row r="153" spans="2:2" ht="15.75" customHeight="1" x14ac:dyDescent="0.25">
      <c r="B153" s="4"/>
    </row>
    <row r="154" spans="2:2" ht="15.75" customHeight="1" x14ac:dyDescent="0.25">
      <c r="B154" s="4"/>
    </row>
    <row r="155" spans="2:2" ht="15.75" customHeight="1" x14ac:dyDescent="0.25">
      <c r="B155" s="4"/>
    </row>
    <row r="156" spans="2:2" ht="15.75" customHeight="1" x14ac:dyDescent="0.25">
      <c r="B156" s="4"/>
    </row>
    <row r="157" spans="2:2" ht="15.75" customHeight="1" x14ac:dyDescent="0.25">
      <c r="B157" s="4"/>
    </row>
    <row r="158" spans="2:2" ht="15.75" customHeight="1" x14ac:dyDescent="0.25">
      <c r="B158" s="4"/>
    </row>
    <row r="159" spans="2:2" ht="15.75" customHeight="1" x14ac:dyDescent="0.25">
      <c r="B159" s="4"/>
    </row>
    <row r="160" spans="2:2" ht="15.75" customHeight="1" x14ac:dyDescent="0.25">
      <c r="B160" s="4"/>
    </row>
    <row r="161" spans="2:2" ht="15.75" customHeight="1" x14ac:dyDescent="0.25">
      <c r="B161" s="4"/>
    </row>
    <row r="162" spans="2:2" ht="15.75" customHeight="1" x14ac:dyDescent="0.25">
      <c r="B162" s="4"/>
    </row>
    <row r="163" spans="2:2" ht="15.75" customHeight="1" x14ac:dyDescent="0.25">
      <c r="B163" s="4"/>
    </row>
    <row r="164" spans="2:2" ht="15.75" customHeight="1" x14ac:dyDescent="0.25">
      <c r="B164" s="4"/>
    </row>
    <row r="165" spans="2:2" ht="15.75" customHeight="1" x14ac:dyDescent="0.25">
      <c r="B165" s="4"/>
    </row>
    <row r="166" spans="2:2" ht="15.75" customHeight="1" x14ac:dyDescent="0.25">
      <c r="B166" s="4"/>
    </row>
    <row r="167" spans="2:2" ht="15.75" customHeight="1" x14ac:dyDescent="0.25">
      <c r="B167" s="4"/>
    </row>
    <row r="168" spans="2:2" ht="15.75" customHeight="1" x14ac:dyDescent="0.25">
      <c r="B168" s="4"/>
    </row>
    <row r="169" spans="2:2" ht="15.75" customHeight="1" x14ac:dyDescent="0.25">
      <c r="B169" s="4"/>
    </row>
    <row r="170" spans="2:2" ht="15.75" customHeight="1" x14ac:dyDescent="0.25">
      <c r="B170" s="4"/>
    </row>
    <row r="171" spans="2:2" ht="15.75" customHeight="1" x14ac:dyDescent="0.25">
      <c r="B171" s="4"/>
    </row>
    <row r="172" spans="2:2" ht="15.75" customHeight="1" x14ac:dyDescent="0.25">
      <c r="B172" s="4"/>
    </row>
    <row r="173" spans="2:2" ht="15.75" customHeight="1" x14ac:dyDescent="0.25">
      <c r="B173" s="4"/>
    </row>
    <row r="174" spans="2:2" ht="15.75" customHeight="1" x14ac:dyDescent="0.25">
      <c r="B174" s="4"/>
    </row>
    <row r="175" spans="2:2" ht="15.75" customHeight="1" x14ac:dyDescent="0.25">
      <c r="B175" s="4"/>
    </row>
    <row r="176" spans="2:2" ht="15.75" customHeight="1" x14ac:dyDescent="0.25">
      <c r="B176" s="4"/>
    </row>
    <row r="177" spans="2:2" ht="15.75" customHeight="1" x14ac:dyDescent="0.25">
      <c r="B177" s="4"/>
    </row>
    <row r="178" spans="2:2" ht="15.75" customHeight="1" x14ac:dyDescent="0.25">
      <c r="B178" s="4"/>
    </row>
    <row r="179" spans="2:2" ht="15.75" customHeight="1" x14ac:dyDescent="0.25">
      <c r="B179" s="4"/>
    </row>
    <row r="180" spans="2:2" ht="15.75" customHeight="1" x14ac:dyDescent="0.25">
      <c r="B180" s="4"/>
    </row>
    <row r="181" spans="2:2" ht="15.75" customHeight="1" x14ac:dyDescent="0.25">
      <c r="B181" s="4"/>
    </row>
    <row r="182" spans="2:2" ht="15.75" customHeight="1" x14ac:dyDescent="0.25">
      <c r="B182" s="4"/>
    </row>
    <row r="183" spans="2:2" ht="15.75" customHeight="1" x14ac:dyDescent="0.25">
      <c r="B183" s="4"/>
    </row>
    <row r="184" spans="2:2" ht="15.75" customHeight="1" x14ac:dyDescent="0.25">
      <c r="B184" s="4"/>
    </row>
    <row r="185" spans="2:2" ht="15.75" customHeight="1" x14ac:dyDescent="0.25">
      <c r="B185" s="4"/>
    </row>
    <row r="186" spans="2:2" ht="15.75" customHeight="1" x14ac:dyDescent="0.25">
      <c r="B186" s="4"/>
    </row>
    <row r="187" spans="2:2" ht="15.75" customHeight="1" x14ac:dyDescent="0.25">
      <c r="B187" s="4"/>
    </row>
    <row r="188" spans="2:2" ht="15.75" customHeight="1" x14ac:dyDescent="0.25">
      <c r="B188" s="4"/>
    </row>
    <row r="189" spans="2:2" ht="15.75" customHeight="1" x14ac:dyDescent="0.25">
      <c r="B189" s="4"/>
    </row>
    <row r="190" spans="2:2" ht="15.75" customHeight="1" x14ac:dyDescent="0.25">
      <c r="B190" s="4"/>
    </row>
    <row r="191" spans="2:2" ht="15.75" customHeight="1" x14ac:dyDescent="0.25">
      <c r="B191" s="4"/>
    </row>
    <row r="192" spans="2:2" ht="15.75" customHeight="1" x14ac:dyDescent="0.25">
      <c r="B192" s="4"/>
    </row>
    <row r="193" spans="2:2" ht="15.75" customHeight="1" x14ac:dyDescent="0.25">
      <c r="B193" s="4"/>
    </row>
    <row r="194" spans="2:2" ht="15.75" customHeight="1" x14ac:dyDescent="0.25">
      <c r="B194" s="4"/>
    </row>
    <row r="195" spans="2:2" ht="15.75" customHeight="1" x14ac:dyDescent="0.25">
      <c r="B195" s="4"/>
    </row>
    <row r="196" spans="2:2" ht="15.75" customHeight="1" x14ac:dyDescent="0.25">
      <c r="B196" s="4"/>
    </row>
    <row r="197" spans="2:2" ht="15.75" customHeight="1" x14ac:dyDescent="0.25">
      <c r="B197" s="4"/>
    </row>
    <row r="198" spans="2:2" ht="15.75" customHeight="1" x14ac:dyDescent="0.25">
      <c r="B198" s="4"/>
    </row>
    <row r="199" spans="2:2" ht="15.75" customHeight="1" x14ac:dyDescent="0.25">
      <c r="B199" s="4"/>
    </row>
    <row r="200" spans="2:2" ht="15.75" customHeight="1" x14ac:dyDescent="0.25">
      <c r="B200" s="4"/>
    </row>
    <row r="201" spans="2:2" ht="15.75" customHeight="1" x14ac:dyDescent="0.25">
      <c r="B201" s="4"/>
    </row>
    <row r="202" spans="2:2" ht="15.75" customHeight="1" x14ac:dyDescent="0.25">
      <c r="B202" s="4"/>
    </row>
    <row r="203" spans="2:2" ht="15.75" customHeight="1" x14ac:dyDescent="0.25">
      <c r="B203" s="4"/>
    </row>
    <row r="204" spans="2:2" ht="15.75" customHeight="1" x14ac:dyDescent="0.25">
      <c r="B204" s="4"/>
    </row>
    <row r="205" spans="2:2" ht="15.75" customHeight="1" x14ac:dyDescent="0.25">
      <c r="B205" s="4"/>
    </row>
    <row r="206" spans="2:2" ht="15.75" customHeight="1" x14ac:dyDescent="0.25">
      <c r="B206" s="4"/>
    </row>
    <row r="207" spans="2:2" ht="15.75" customHeight="1" x14ac:dyDescent="0.25">
      <c r="B207" s="4"/>
    </row>
    <row r="208" spans="2:2" ht="15.75" customHeight="1" x14ac:dyDescent="0.25">
      <c r="B208" s="4"/>
    </row>
    <row r="209" spans="2:2" ht="15.75" customHeight="1" x14ac:dyDescent="0.25">
      <c r="B209" s="4"/>
    </row>
    <row r="210" spans="2:2" ht="15.75" customHeight="1" x14ac:dyDescent="0.25">
      <c r="B210" s="4"/>
    </row>
    <row r="211" spans="2:2" ht="15.75" customHeight="1" x14ac:dyDescent="0.25">
      <c r="B211" s="4"/>
    </row>
    <row r="212" spans="2:2" ht="15.75" customHeight="1" x14ac:dyDescent="0.25">
      <c r="B212" s="4"/>
    </row>
    <row r="213" spans="2:2" ht="15.75" customHeight="1" x14ac:dyDescent="0.25">
      <c r="B213" s="4"/>
    </row>
    <row r="214" spans="2:2" ht="15.75" customHeight="1" x14ac:dyDescent="0.25">
      <c r="B214" s="4"/>
    </row>
    <row r="215" spans="2:2" ht="15.75" customHeight="1" x14ac:dyDescent="0.25">
      <c r="B215" s="4"/>
    </row>
    <row r="216" spans="2:2" ht="15.75" customHeight="1" x14ac:dyDescent="0.25">
      <c r="B216" s="4"/>
    </row>
    <row r="217" spans="2:2" ht="15.75" customHeight="1" x14ac:dyDescent="0.25">
      <c r="B217" s="4"/>
    </row>
    <row r="218" spans="2:2" ht="15.75" customHeight="1" x14ac:dyDescent="0.25">
      <c r="B218" s="4"/>
    </row>
    <row r="219" spans="2:2" ht="15.75" customHeight="1" x14ac:dyDescent="0.25">
      <c r="B219" s="4"/>
    </row>
    <row r="220" spans="2:2" ht="15.75" customHeight="1" x14ac:dyDescent="0.25">
      <c r="B220" s="4"/>
    </row>
    <row r="221" spans="2:2" ht="15.75" customHeight="1" x14ac:dyDescent="0.25">
      <c r="B221" s="4"/>
    </row>
    <row r="222" spans="2:2" ht="15.75" customHeight="1" x14ac:dyDescent="0.25">
      <c r="B222" s="4"/>
    </row>
    <row r="223" spans="2:2" ht="15.75" customHeight="1" x14ac:dyDescent="0.25">
      <c r="B223" s="4"/>
    </row>
    <row r="224" spans="2:2" ht="15.75" customHeight="1" x14ac:dyDescent="0.25">
      <c r="B224" s="4"/>
    </row>
    <row r="225" spans="2:2" ht="15.75" customHeight="1" x14ac:dyDescent="0.25">
      <c r="B225" s="4"/>
    </row>
    <row r="226" spans="2:2" ht="15.75" customHeight="1" x14ac:dyDescent="0.25">
      <c r="B226" s="4"/>
    </row>
    <row r="227" spans="2:2" ht="15.75" customHeight="1" x14ac:dyDescent="0.25">
      <c r="B227" s="4"/>
    </row>
    <row r="228" spans="2:2" ht="15.75" customHeight="1" x14ac:dyDescent="0.25">
      <c r="B228" s="4"/>
    </row>
    <row r="229" spans="2:2" ht="15.75" customHeight="1" x14ac:dyDescent="0.25">
      <c r="B229" s="4"/>
    </row>
    <row r="230" spans="2:2" ht="15.75" customHeight="1" x14ac:dyDescent="0.25">
      <c r="B230" s="4"/>
    </row>
    <row r="231" spans="2:2" ht="15.75" customHeight="1" x14ac:dyDescent="0.25">
      <c r="B231" s="4"/>
    </row>
    <row r="232" spans="2:2" ht="15.75" customHeight="1" x14ac:dyDescent="0.25">
      <c r="B232" s="4"/>
    </row>
    <row r="233" spans="2:2" ht="15.75" customHeight="1" x14ac:dyDescent="0.25">
      <c r="B233" s="4"/>
    </row>
    <row r="234" spans="2:2" ht="15.75" customHeight="1" x14ac:dyDescent="0.25">
      <c r="B234" s="4"/>
    </row>
    <row r="235" spans="2:2" ht="15.75" customHeight="1" x14ac:dyDescent="0.25">
      <c r="B235" s="4"/>
    </row>
    <row r="236" spans="2:2" ht="15.75" customHeight="1" x14ac:dyDescent="0.25">
      <c r="B236" s="4"/>
    </row>
    <row r="237" spans="2:2" ht="15.75" customHeight="1" x14ac:dyDescent="0.25">
      <c r="B237" s="4"/>
    </row>
    <row r="238" spans="2:2" ht="15.75" customHeight="1" x14ac:dyDescent="0.25">
      <c r="B238" s="4"/>
    </row>
    <row r="239" spans="2:2" ht="15.75" customHeight="1" x14ac:dyDescent="0.25">
      <c r="B239" s="4"/>
    </row>
    <row r="240" spans="2:2" ht="15.75" customHeight="1" x14ac:dyDescent="0.25">
      <c r="B240" s="4"/>
    </row>
    <row r="241" spans="2:2" ht="15.75" customHeight="1" x14ac:dyDescent="0.25">
      <c r="B241" s="4"/>
    </row>
    <row r="242" spans="2:2" ht="15.75" customHeight="1" x14ac:dyDescent="0.25">
      <c r="B242" s="4"/>
    </row>
    <row r="243" spans="2:2" ht="15.75" customHeight="1" x14ac:dyDescent="0.25">
      <c r="B243" s="4"/>
    </row>
    <row r="244" spans="2:2" ht="15.75" customHeight="1" x14ac:dyDescent="0.25">
      <c r="B244" s="4"/>
    </row>
    <row r="245" spans="2:2" ht="15.75" customHeight="1" x14ac:dyDescent="0.25">
      <c r="B245" s="4"/>
    </row>
    <row r="246" spans="2:2" ht="15.75" customHeight="1" x14ac:dyDescent="0.25">
      <c r="B246" s="4"/>
    </row>
    <row r="247" spans="2:2" ht="15.75" customHeight="1" x14ac:dyDescent="0.25">
      <c r="B247" s="4"/>
    </row>
    <row r="248" spans="2:2" ht="15.75" customHeight="1" x14ac:dyDescent="0.25">
      <c r="B248" s="4"/>
    </row>
    <row r="249" spans="2:2" ht="15.75" customHeight="1" x14ac:dyDescent="0.25">
      <c r="B249" s="4"/>
    </row>
    <row r="250" spans="2:2" ht="15.75" customHeight="1" x14ac:dyDescent="0.25">
      <c r="B250" s="4"/>
    </row>
    <row r="251" spans="2:2" ht="15.75" customHeight="1" x14ac:dyDescent="0.25">
      <c r="B251" s="4"/>
    </row>
    <row r="252" spans="2:2" ht="15.75" customHeight="1" x14ac:dyDescent="0.25">
      <c r="B252" s="4"/>
    </row>
    <row r="253" spans="2:2" ht="15.75" customHeight="1" x14ac:dyDescent="0.25">
      <c r="B253" s="4"/>
    </row>
    <row r="254" spans="2:2" ht="15.75" customHeight="1" x14ac:dyDescent="0.25">
      <c r="B254" s="4"/>
    </row>
    <row r="255" spans="2:2" ht="15.75" customHeight="1" x14ac:dyDescent="0.25">
      <c r="B255" s="4"/>
    </row>
    <row r="256" spans="2:2" ht="15.75" customHeight="1" x14ac:dyDescent="0.25">
      <c r="B256" s="4"/>
    </row>
    <row r="257" spans="2:2" ht="15.75" customHeight="1" x14ac:dyDescent="0.25">
      <c r="B257" s="4"/>
    </row>
    <row r="258" spans="2:2" ht="15.75" customHeight="1" x14ac:dyDescent="0.25">
      <c r="B258" s="4"/>
    </row>
    <row r="259" spans="2:2" ht="15.75" customHeight="1" x14ac:dyDescent="0.25">
      <c r="B259" s="4"/>
    </row>
    <row r="260" spans="2:2" ht="15.75" customHeight="1" x14ac:dyDescent="0.25">
      <c r="B260" s="4"/>
    </row>
    <row r="261" spans="2:2" ht="15.75" customHeight="1" x14ac:dyDescent="0.25">
      <c r="B261" s="4"/>
    </row>
    <row r="262" spans="2:2" ht="15.75" customHeight="1" x14ac:dyDescent="0.25">
      <c r="B262" s="4"/>
    </row>
    <row r="263" spans="2:2" ht="15.75" customHeight="1" x14ac:dyDescent="0.25">
      <c r="B263" s="4"/>
    </row>
    <row r="264" spans="2:2" ht="15.75" customHeight="1" x14ac:dyDescent="0.25">
      <c r="B264" s="4"/>
    </row>
    <row r="265" spans="2:2" ht="15.75" customHeight="1" x14ac:dyDescent="0.25">
      <c r="B265" s="4"/>
    </row>
    <row r="266" spans="2:2" ht="15.75" customHeight="1" x14ac:dyDescent="0.25">
      <c r="B266" s="4"/>
    </row>
    <row r="267" spans="2:2" ht="15.75" customHeight="1" x14ac:dyDescent="0.25">
      <c r="B267" s="4"/>
    </row>
    <row r="268" spans="2:2" ht="15.75" customHeight="1" x14ac:dyDescent="0.25">
      <c r="B268" s="4"/>
    </row>
    <row r="269" spans="2:2" ht="15.75" customHeight="1" x14ac:dyDescent="0.25">
      <c r="B269" s="4"/>
    </row>
    <row r="270" spans="2:2" ht="15.75" customHeight="1" x14ac:dyDescent="0.25">
      <c r="B270" s="4"/>
    </row>
    <row r="271" spans="2:2" ht="15.75" customHeight="1" x14ac:dyDescent="0.25">
      <c r="B271" s="4"/>
    </row>
    <row r="272" spans="2:2" ht="15.75" customHeight="1" x14ac:dyDescent="0.25">
      <c r="B272" s="4"/>
    </row>
    <row r="273" spans="2:2" ht="15.75" customHeight="1" x14ac:dyDescent="0.25">
      <c r="B273" s="4"/>
    </row>
    <row r="274" spans="2:2" ht="15.75" customHeight="1" x14ac:dyDescent="0.25">
      <c r="B274" s="4"/>
    </row>
    <row r="275" spans="2:2" ht="15.75" customHeight="1" x14ac:dyDescent="0.25">
      <c r="B275" s="4"/>
    </row>
    <row r="276" spans="2:2" ht="15.75" customHeight="1" x14ac:dyDescent="0.25">
      <c r="B276" s="4"/>
    </row>
    <row r="277" spans="2:2" ht="15.75" customHeight="1" x14ac:dyDescent="0.25">
      <c r="B277" s="4"/>
    </row>
    <row r="278" spans="2:2" ht="15.75" customHeight="1" x14ac:dyDescent="0.25">
      <c r="B278" s="4"/>
    </row>
    <row r="279" spans="2:2" ht="15.75" customHeight="1" x14ac:dyDescent="0.25">
      <c r="B279" s="4"/>
    </row>
    <row r="280" spans="2:2" ht="15.75" customHeight="1" x14ac:dyDescent="0.25">
      <c r="B280" s="4"/>
    </row>
    <row r="281" spans="2:2" ht="15.75" customHeight="1" x14ac:dyDescent="0.25">
      <c r="B281" s="4"/>
    </row>
    <row r="282" spans="2:2" ht="15.75" customHeight="1" x14ac:dyDescent="0.25">
      <c r="B282" s="4"/>
    </row>
    <row r="283" spans="2:2" ht="15.75" customHeight="1" x14ac:dyDescent="0.25">
      <c r="B283" s="4"/>
    </row>
    <row r="284" spans="2:2" ht="15.75" customHeight="1" x14ac:dyDescent="0.25">
      <c r="B284" s="4"/>
    </row>
    <row r="285" spans="2:2" ht="15.75" customHeight="1" x14ac:dyDescent="0.25">
      <c r="B285" s="4"/>
    </row>
    <row r="286" spans="2:2" ht="15.75" customHeight="1" x14ac:dyDescent="0.25">
      <c r="B286" s="4"/>
    </row>
    <row r="287" spans="2:2" ht="15.75" customHeight="1" x14ac:dyDescent="0.25">
      <c r="B287" s="4"/>
    </row>
    <row r="288" spans="2:2" ht="15.75" customHeight="1" x14ac:dyDescent="0.25">
      <c r="B288" s="4"/>
    </row>
    <row r="289" spans="2:2" ht="15.75" customHeight="1" x14ac:dyDescent="0.25">
      <c r="B289" s="4"/>
    </row>
    <row r="290" spans="2:2" ht="15.75" customHeight="1" x14ac:dyDescent="0.25">
      <c r="B290" s="4"/>
    </row>
    <row r="291" spans="2:2" ht="15.75" customHeight="1" x14ac:dyDescent="0.25">
      <c r="B291" s="4"/>
    </row>
    <row r="292" spans="2:2" ht="15.75" customHeight="1" x14ac:dyDescent="0.25">
      <c r="B292" s="4"/>
    </row>
    <row r="293" spans="2:2" ht="15.75" customHeight="1" x14ac:dyDescent="0.25">
      <c r="B293" s="4"/>
    </row>
    <row r="294" spans="2:2" ht="15.75" customHeight="1" x14ac:dyDescent="0.25">
      <c r="B294" s="4"/>
    </row>
    <row r="295" spans="2:2" ht="15.75" customHeight="1" x14ac:dyDescent="0.25">
      <c r="B295" s="4"/>
    </row>
    <row r="296" spans="2:2" ht="15.75" customHeight="1" x14ac:dyDescent="0.25">
      <c r="B296" s="4"/>
    </row>
    <row r="297" spans="2:2" ht="15.75" customHeight="1" x14ac:dyDescent="0.25">
      <c r="B297" s="4"/>
    </row>
    <row r="298" spans="2:2" ht="15.75" customHeight="1" x14ac:dyDescent="0.25">
      <c r="B298" s="4"/>
    </row>
    <row r="299" spans="2:2" ht="15.75" customHeight="1" x14ac:dyDescent="0.25">
      <c r="B299" s="4"/>
    </row>
    <row r="300" spans="2:2" ht="15.75" customHeight="1" x14ac:dyDescent="0.25">
      <c r="B300" s="4"/>
    </row>
    <row r="301" spans="2:2" ht="15.75" customHeight="1" x14ac:dyDescent="0.25">
      <c r="B301" s="4"/>
    </row>
    <row r="302" spans="2:2" ht="15.75" customHeight="1" x14ac:dyDescent="0.25">
      <c r="B302" s="4"/>
    </row>
    <row r="303" spans="2:2" ht="15.75" customHeight="1" x14ac:dyDescent="0.25">
      <c r="B303" s="4"/>
    </row>
    <row r="304" spans="2:2" ht="15.75" customHeight="1" x14ac:dyDescent="0.25">
      <c r="B304" s="4"/>
    </row>
    <row r="305" spans="2:2" ht="15.75" customHeight="1" x14ac:dyDescent="0.25">
      <c r="B305" s="4"/>
    </row>
    <row r="306" spans="2:2" ht="15.75" customHeight="1" x14ac:dyDescent="0.25">
      <c r="B306" s="4"/>
    </row>
    <row r="307" spans="2:2" ht="15.75" customHeight="1" x14ac:dyDescent="0.25">
      <c r="B307" s="4"/>
    </row>
    <row r="308" spans="2:2" ht="15.75" customHeight="1" x14ac:dyDescent="0.25">
      <c r="B308" s="4"/>
    </row>
    <row r="309" spans="2:2" ht="15.75" customHeight="1" x14ac:dyDescent="0.25">
      <c r="B309" s="4"/>
    </row>
    <row r="310" spans="2:2" ht="15.75" customHeight="1" x14ac:dyDescent="0.25">
      <c r="B310" s="4"/>
    </row>
    <row r="311" spans="2:2" ht="15.75" customHeight="1" x14ac:dyDescent="0.25">
      <c r="B311" s="4"/>
    </row>
    <row r="312" spans="2:2" ht="15.75" customHeight="1" x14ac:dyDescent="0.25">
      <c r="B312" s="4"/>
    </row>
    <row r="313" spans="2:2" ht="15.75" customHeight="1" x14ac:dyDescent="0.25">
      <c r="B313" s="4"/>
    </row>
    <row r="314" spans="2:2" ht="15.75" customHeight="1" x14ac:dyDescent="0.25">
      <c r="B314" s="4"/>
    </row>
    <row r="315" spans="2:2" ht="15.75" customHeight="1" x14ac:dyDescent="0.25">
      <c r="B315" s="4"/>
    </row>
    <row r="316" spans="2:2" ht="15.75" customHeight="1" x14ac:dyDescent="0.25">
      <c r="B316" s="4"/>
    </row>
    <row r="317" spans="2:2" ht="15.75" customHeight="1" x14ac:dyDescent="0.25">
      <c r="B317" s="4"/>
    </row>
    <row r="318" spans="2:2" ht="15.75" customHeight="1" x14ac:dyDescent="0.25">
      <c r="B318" s="4"/>
    </row>
    <row r="319" spans="2:2" ht="15.75" customHeight="1" x14ac:dyDescent="0.25">
      <c r="B319" s="4"/>
    </row>
    <row r="320" spans="2:2" ht="15.75" customHeight="1" x14ac:dyDescent="0.25">
      <c r="B320" s="4"/>
    </row>
    <row r="321" spans="2:2" ht="15.75" customHeight="1" x14ac:dyDescent="0.25">
      <c r="B321" s="4"/>
    </row>
    <row r="322" spans="2:2" ht="15.75" customHeight="1" x14ac:dyDescent="0.25">
      <c r="B322" s="4"/>
    </row>
    <row r="323" spans="2:2" ht="15.75" customHeight="1" x14ac:dyDescent="0.25">
      <c r="B323" s="4"/>
    </row>
    <row r="324" spans="2:2" ht="15.75" customHeight="1" x14ac:dyDescent="0.25">
      <c r="B324" s="4"/>
    </row>
    <row r="325" spans="2:2" ht="15.75" customHeight="1" x14ac:dyDescent="0.25">
      <c r="B325" s="4"/>
    </row>
    <row r="326" spans="2:2" ht="15.75" customHeight="1" x14ac:dyDescent="0.25">
      <c r="B326" s="4"/>
    </row>
    <row r="327" spans="2:2" ht="15.75" customHeight="1" x14ac:dyDescent="0.25">
      <c r="B327" s="4"/>
    </row>
    <row r="328" spans="2:2" ht="15.75" customHeight="1" x14ac:dyDescent="0.25">
      <c r="B328" s="4"/>
    </row>
    <row r="329" spans="2:2" ht="15.75" customHeight="1" x14ac:dyDescent="0.25">
      <c r="B329" s="4"/>
    </row>
    <row r="330" spans="2:2" ht="15.75" customHeight="1" x14ac:dyDescent="0.25">
      <c r="B330" s="4"/>
    </row>
    <row r="331" spans="2:2" ht="15.75" customHeight="1" x14ac:dyDescent="0.25">
      <c r="B331" s="4"/>
    </row>
    <row r="332" spans="2:2" ht="15.75" customHeight="1" x14ac:dyDescent="0.25">
      <c r="B332" s="4"/>
    </row>
    <row r="333" spans="2:2" ht="15.75" customHeight="1" x14ac:dyDescent="0.25">
      <c r="B333" s="4"/>
    </row>
    <row r="334" spans="2:2" ht="15.75" customHeight="1" x14ac:dyDescent="0.25">
      <c r="B334" s="4"/>
    </row>
    <row r="335" spans="2:2" ht="15.75" customHeight="1" x14ac:dyDescent="0.25">
      <c r="B335" s="4"/>
    </row>
    <row r="336" spans="2:2" ht="15.75" customHeight="1" x14ac:dyDescent="0.25">
      <c r="B336" s="4"/>
    </row>
    <row r="337" spans="2:2" ht="15.75" customHeight="1" x14ac:dyDescent="0.25">
      <c r="B337" s="4"/>
    </row>
    <row r="338" spans="2:2" ht="15.75" customHeight="1" x14ac:dyDescent="0.25">
      <c r="B338" s="4"/>
    </row>
    <row r="339" spans="2:2" ht="15.75" customHeight="1" x14ac:dyDescent="0.25">
      <c r="B339" s="4"/>
    </row>
    <row r="340" spans="2:2" ht="15.75" customHeight="1" x14ac:dyDescent="0.25">
      <c r="B340" s="4"/>
    </row>
    <row r="341" spans="2:2" ht="15.75" customHeight="1" x14ac:dyDescent="0.25">
      <c r="B341" s="4"/>
    </row>
    <row r="342" spans="2:2" ht="15.75" customHeight="1" x14ac:dyDescent="0.25">
      <c r="B342" s="4"/>
    </row>
    <row r="343" spans="2:2" ht="15.75" customHeight="1" x14ac:dyDescent="0.25">
      <c r="B343" s="4"/>
    </row>
    <row r="344" spans="2:2" ht="15.75" customHeight="1" x14ac:dyDescent="0.25">
      <c r="B344" s="4"/>
    </row>
    <row r="345" spans="2:2" ht="15.75" customHeight="1" x14ac:dyDescent="0.25">
      <c r="B345" s="4"/>
    </row>
    <row r="346" spans="2:2" ht="15.75" customHeight="1" x14ac:dyDescent="0.25">
      <c r="B346" s="4"/>
    </row>
    <row r="347" spans="2:2" ht="15.75" customHeight="1" x14ac:dyDescent="0.25">
      <c r="B347" s="4"/>
    </row>
    <row r="348" spans="2:2" ht="15.75" customHeight="1" x14ac:dyDescent="0.25">
      <c r="B348" s="4"/>
    </row>
    <row r="349" spans="2:2" ht="15.75" customHeight="1" x14ac:dyDescent="0.25">
      <c r="B349" s="4"/>
    </row>
    <row r="350" spans="2:2" ht="15.75" customHeight="1" x14ac:dyDescent="0.25">
      <c r="B350" s="4"/>
    </row>
    <row r="351" spans="2:2" ht="15.75" customHeight="1" x14ac:dyDescent="0.25">
      <c r="B351" s="4"/>
    </row>
    <row r="352" spans="2:2" ht="15.75" customHeight="1" x14ac:dyDescent="0.25">
      <c r="B352" s="4"/>
    </row>
    <row r="353" spans="2:2" ht="15.75" customHeight="1" x14ac:dyDescent="0.25">
      <c r="B353" s="4"/>
    </row>
    <row r="354" spans="2:2" ht="15.75" customHeight="1" x14ac:dyDescent="0.25">
      <c r="B354" s="4"/>
    </row>
    <row r="355" spans="2:2" ht="15.75" customHeight="1" x14ac:dyDescent="0.25">
      <c r="B355" s="4"/>
    </row>
    <row r="356" spans="2:2" ht="15.75" customHeight="1" x14ac:dyDescent="0.25">
      <c r="B356" s="4"/>
    </row>
    <row r="357" spans="2:2" ht="15.75" customHeight="1" x14ac:dyDescent="0.25">
      <c r="B357" s="4"/>
    </row>
    <row r="358" spans="2:2" ht="15.75" customHeight="1" x14ac:dyDescent="0.25">
      <c r="B358" s="4"/>
    </row>
    <row r="359" spans="2:2" ht="15.75" customHeight="1" x14ac:dyDescent="0.25">
      <c r="B359" s="4"/>
    </row>
    <row r="360" spans="2:2" ht="15.75" customHeight="1" x14ac:dyDescent="0.25">
      <c r="B360" s="4"/>
    </row>
    <row r="361" spans="2:2" ht="15.75" customHeight="1" x14ac:dyDescent="0.25">
      <c r="B361" s="4"/>
    </row>
    <row r="362" spans="2:2" ht="15.75" customHeight="1" x14ac:dyDescent="0.25">
      <c r="B362" s="4"/>
    </row>
    <row r="363" spans="2:2" ht="15.75" customHeight="1" x14ac:dyDescent="0.25">
      <c r="B363" s="4"/>
    </row>
    <row r="364" spans="2:2" ht="15.75" customHeight="1" x14ac:dyDescent="0.25">
      <c r="B364" s="4"/>
    </row>
    <row r="365" spans="2:2" ht="15.75" customHeight="1" x14ac:dyDescent="0.25">
      <c r="B365" s="4"/>
    </row>
    <row r="366" spans="2:2" ht="15.75" customHeight="1" x14ac:dyDescent="0.25">
      <c r="B366" s="4"/>
    </row>
    <row r="367" spans="2:2" ht="15.75" customHeight="1" x14ac:dyDescent="0.25">
      <c r="B367" s="4"/>
    </row>
    <row r="368" spans="2:2" ht="15.75" customHeight="1" x14ac:dyDescent="0.25">
      <c r="B368" s="4"/>
    </row>
    <row r="369" spans="2:2" ht="15.75" customHeight="1" x14ac:dyDescent="0.25">
      <c r="B369" s="4"/>
    </row>
    <row r="370" spans="2:2" ht="15.75" customHeight="1" x14ac:dyDescent="0.25">
      <c r="B370" s="4"/>
    </row>
    <row r="371" spans="2:2" ht="15.75" customHeight="1" x14ac:dyDescent="0.25">
      <c r="B371" s="4"/>
    </row>
    <row r="372" spans="2:2" ht="15.75" customHeight="1" x14ac:dyDescent="0.25">
      <c r="B372" s="4"/>
    </row>
    <row r="373" spans="2:2" ht="15.75" customHeight="1" x14ac:dyDescent="0.25">
      <c r="B373" s="4"/>
    </row>
    <row r="374" spans="2:2" ht="15.75" customHeight="1" x14ac:dyDescent="0.25">
      <c r="B374" s="4"/>
    </row>
    <row r="375" spans="2:2" ht="15.75" customHeight="1" x14ac:dyDescent="0.25">
      <c r="B375" s="4"/>
    </row>
    <row r="376" spans="2:2" ht="15.75" customHeight="1" x14ac:dyDescent="0.25">
      <c r="B376" s="4"/>
    </row>
    <row r="377" spans="2:2" ht="15.75" customHeight="1" x14ac:dyDescent="0.25">
      <c r="B377" s="4"/>
    </row>
    <row r="378" spans="2:2" ht="15.75" customHeight="1" x14ac:dyDescent="0.25">
      <c r="B378" s="4"/>
    </row>
    <row r="379" spans="2:2" ht="15.75" customHeight="1" x14ac:dyDescent="0.25">
      <c r="B379" s="4"/>
    </row>
    <row r="380" spans="2:2" ht="15.75" customHeight="1" x14ac:dyDescent="0.25">
      <c r="B380" s="4"/>
    </row>
    <row r="381" spans="2:2" ht="15.75" customHeight="1" x14ac:dyDescent="0.25">
      <c r="B381" s="4"/>
    </row>
    <row r="382" spans="2:2" ht="15.75" customHeight="1" x14ac:dyDescent="0.25">
      <c r="B382" s="4"/>
    </row>
    <row r="383" spans="2:2" ht="15.75" customHeight="1" x14ac:dyDescent="0.25">
      <c r="B383" s="4"/>
    </row>
    <row r="384" spans="2:2" ht="15.75" customHeight="1" x14ac:dyDescent="0.25">
      <c r="B384" s="4"/>
    </row>
    <row r="385" spans="2:2" ht="15.75" customHeight="1" x14ac:dyDescent="0.25">
      <c r="B385" s="4"/>
    </row>
    <row r="386" spans="2:2" ht="15.75" customHeight="1" x14ac:dyDescent="0.25">
      <c r="B386" s="4"/>
    </row>
    <row r="387" spans="2:2" ht="15.75" customHeight="1" x14ac:dyDescent="0.25">
      <c r="B387" s="4"/>
    </row>
    <row r="388" spans="2:2" ht="15.75" customHeight="1" x14ac:dyDescent="0.25">
      <c r="B388" s="4"/>
    </row>
    <row r="389" spans="2:2" ht="15.75" customHeight="1" x14ac:dyDescent="0.25">
      <c r="B389" s="4"/>
    </row>
    <row r="390" spans="2:2" ht="15.75" customHeight="1" x14ac:dyDescent="0.25">
      <c r="B390" s="4"/>
    </row>
    <row r="391" spans="2:2" ht="15.75" customHeight="1" x14ac:dyDescent="0.25">
      <c r="B391" s="4"/>
    </row>
    <row r="392" spans="2:2" ht="15.75" customHeight="1" x14ac:dyDescent="0.25">
      <c r="B392" s="4"/>
    </row>
    <row r="393" spans="2:2" ht="15.75" customHeight="1" x14ac:dyDescent="0.25">
      <c r="B393" s="4"/>
    </row>
    <row r="394" spans="2:2" ht="15.75" customHeight="1" x14ac:dyDescent="0.25">
      <c r="B394" s="4"/>
    </row>
    <row r="395" spans="2:2" ht="15.75" customHeight="1" x14ac:dyDescent="0.25">
      <c r="B395" s="4"/>
    </row>
    <row r="396" spans="2:2" ht="15.75" customHeight="1" x14ac:dyDescent="0.25">
      <c r="B396" s="4"/>
    </row>
    <row r="397" spans="2:2" ht="15.75" customHeight="1" x14ac:dyDescent="0.25">
      <c r="B397" s="4"/>
    </row>
    <row r="398" spans="2:2" ht="15.75" customHeight="1" x14ac:dyDescent="0.25">
      <c r="B398" s="4"/>
    </row>
    <row r="399" spans="2:2" ht="15.75" customHeight="1" x14ac:dyDescent="0.25">
      <c r="B399" s="4"/>
    </row>
    <row r="400" spans="2:2" ht="15.75" customHeight="1" x14ac:dyDescent="0.25">
      <c r="B400" s="4"/>
    </row>
    <row r="401" spans="2:2" ht="15.75" customHeight="1" x14ac:dyDescent="0.25">
      <c r="B401" s="4"/>
    </row>
    <row r="402" spans="2:2" ht="15.75" customHeight="1" x14ac:dyDescent="0.25">
      <c r="B402" s="4"/>
    </row>
    <row r="403" spans="2:2" ht="15.75" customHeight="1" x14ac:dyDescent="0.25">
      <c r="B403" s="4"/>
    </row>
    <row r="404" spans="2:2" ht="15.75" customHeight="1" x14ac:dyDescent="0.25">
      <c r="B404" s="4"/>
    </row>
    <row r="405" spans="2:2" ht="15.75" customHeight="1" x14ac:dyDescent="0.25">
      <c r="B405" s="4"/>
    </row>
    <row r="406" spans="2:2" ht="15.75" customHeight="1" x14ac:dyDescent="0.25">
      <c r="B406" s="4"/>
    </row>
    <row r="407" spans="2:2" ht="15.75" customHeight="1" x14ac:dyDescent="0.25">
      <c r="B407" s="4"/>
    </row>
    <row r="408" spans="2:2" ht="15.75" customHeight="1" x14ac:dyDescent="0.25">
      <c r="B408" s="4"/>
    </row>
    <row r="409" spans="2:2" ht="15.75" customHeight="1" x14ac:dyDescent="0.25">
      <c r="B409" s="4"/>
    </row>
    <row r="410" spans="2:2" ht="15.75" customHeight="1" x14ac:dyDescent="0.25">
      <c r="B410" s="4"/>
    </row>
    <row r="411" spans="2:2" ht="15.75" customHeight="1" x14ac:dyDescent="0.25">
      <c r="B411" s="4"/>
    </row>
    <row r="412" spans="2:2" ht="15.75" customHeight="1" x14ac:dyDescent="0.25">
      <c r="B412" s="4"/>
    </row>
    <row r="413" spans="2:2" ht="15.75" customHeight="1" x14ac:dyDescent="0.25">
      <c r="B413" s="4"/>
    </row>
    <row r="414" spans="2:2" ht="15.75" customHeight="1" x14ac:dyDescent="0.25">
      <c r="B414" s="4"/>
    </row>
    <row r="415" spans="2:2" ht="15.75" customHeight="1" x14ac:dyDescent="0.25">
      <c r="B415" s="4"/>
    </row>
    <row r="416" spans="2:2" ht="15.75" customHeight="1" x14ac:dyDescent="0.25">
      <c r="B416" s="4"/>
    </row>
    <row r="417" spans="2:2" ht="15.75" customHeight="1" x14ac:dyDescent="0.25">
      <c r="B417" s="4"/>
    </row>
    <row r="418" spans="2:2" ht="15.75" customHeight="1" x14ac:dyDescent="0.25">
      <c r="B418" s="4"/>
    </row>
    <row r="419" spans="2:2" ht="15.75" customHeight="1" x14ac:dyDescent="0.25">
      <c r="B419" s="4"/>
    </row>
    <row r="420" spans="2:2" ht="15.75" customHeight="1" x14ac:dyDescent="0.25">
      <c r="B420" s="4"/>
    </row>
    <row r="421" spans="2:2" ht="15.75" customHeight="1" x14ac:dyDescent="0.25">
      <c r="B421" s="4"/>
    </row>
    <row r="422" spans="2:2" ht="15.75" customHeight="1" x14ac:dyDescent="0.25">
      <c r="B422" s="4"/>
    </row>
    <row r="423" spans="2:2" ht="15.75" customHeight="1" x14ac:dyDescent="0.25">
      <c r="B423" s="4"/>
    </row>
    <row r="424" spans="2:2" ht="15.75" customHeight="1" x14ac:dyDescent="0.25">
      <c r="B424" s="4"/>
    </row>
    <row r="425" spans="2:2" ht="15.75" customHeight="1" x14ac:dyDescent="0.25">
      <c r="B425" s="4"/>
    </row>
    <row r="426" spans="2:2" ht="15.75" customHeight="1" x14ac:dyDescent="0.25">
      <c r="B426" s="4"/>
    </row>
    <row r="427" spans="2:2" ht="15.75" customHeight="1" x14ac:dyDescent="0.25">
      <c r="B427" s="4"/>
    </row>
    <row r="428" spans="2:2" ht="15.75" customHeight="1" x14ac:dyDescent="0.25">
      <c r="B428" s="4"/>
    </row>
    <row r="429" spans="2:2" ht="15.75" customHeight="1" x14ac:dyDescent="0.25">
      <c r="B429" s="4"/>
    </row>
    <row r="430" spans="2:2" ht="15.75" customHeight="1" x14ac:dyDescent="0.25">
      <c r="B430" s="4"/>
    </row>
    <row r="431" spans="2:2" ht="15.75" customHeight="1" x14ac:dyDescent="0.25">
      <c r="B431" s="4"/>
    </row>
    <row r="432" spans="2:2" ht="15.75" customHeight="1" x14ac:dyDescent="0.25">
      <c r="B432" s="4"/>
    </row>
    <row r="433" spans="2:2" ht="15.75" customHeight="1" x14ac:dyDescent="0.25">
      <c r="B433" s="4"/>
    </row>
    <row r="434" spans="2:2" ht="15.75" customHeight="1" x14ac:dyDescent="0.25">
      <c r="B434" s="4"/>
    </row>
    <row r="435" spans="2:2" ht="15.75" customHeight="1" x14ac:dyDescent="0.25">
      <c r="B435" s="4"/>
    </row>
    <row r="436" spans="2:2" ht="15.75" customHeight="1" x14ac:dyDescent="0.25">
      <c r="B436" s="4"/>
    </row>
    <row r="437" spans="2:2" ht="15.75" customHeight="1" x14ac:dyDescent="0.25">
      <c r="B437" s="4"/>
    </row>
    <row r="438" spans="2:2" ht="15.75" customHeight="1" x14ac:dyDescent="0.25">
      <c r="B438" s="4"/>
    </row>
    <row r="439" spans="2:2" ht="15.75" customHeight="1" x14ac:dyDescent="0.25">
      <c r="B439" s="4"/>
    </row>
    <row r="440" spans="2:2" ht="15.75" customHeight="1" x14ac:dyDescent="0.25">
      <c r="B440" s="4"/>
    </row>
    <row r="441" spans="2:2" ht="15.75" customHeight="1" x14ac:dyDescent="0.25">
      <c r="B441" s="4"/>
    </row>
    <row r="442" spans="2:2" ht="15.75" customHeight="1" x14ac:dyDescent="0.25">
      <c r="B442" s="4"/>
    </row>
    <row r="443" spans="2:2" ht="15.75" customHeight="1" x14ac:dyDescent="0.25">
      <c r="B443" s="4"/>
    </row>
    <row r="444" spans="2:2" ht="15.75" customHeight="1" x14ac:dyDescent="0.25">
      <c r="B444" s="4"/>
    </row>
    <row r="445" spans="2:2" ht="15.75" customHeight="1" x14ac:dyDescent="0.25">
      <c r="B445" s="4"/>
    </row>
    <row r="446" spans="2:2" ht="15.75" customHeight="1" x14ac:dyDescent="0.25">
      <c r="B446" s="4"/>
    </row>
    <row r="447" spans="2:2" ht="15.75" customHeight="1" x14ac:dyDescent="0.25">
      <c r="B447" s="4"/>
    </row>
    <row r="448" spans="2:2" ht="15.75" customHeight="1" x14ac:dyDescent="0.25">
      <c r="B448" s="4"/>
    </row>
    <row r="449" spans="2:2" ht="15.75" customHeight="1" x14ac:dyDescent="0.25">
      <c r="B449" s="4"/>
    </row>
    <row r="450" spans="2:2" ht="15.75" customHeight="1" x14ac:dyDescent="0.25">
      <c r="B450" s="4"/>
    </row>
    <row r="451" spans="2:2" ht="15.75" customHeight="1" x14ac:dyDescent="0.25">
      <c r="B451" s="4"/>
    </row>
    <row r="452" spans="2:2" ht="15.75" customHeight="1" x14ac:dyDescent="0.25">
      <c r="B452" s="4"/>
    </row>
    <row r="453" spans="2:2" ht="15.75" customHeight="1" x14ac:dyDescent="0.25">
      <c r="B453" s="4"/>
    </row>
    <row r="454" spans="2:2" ht="15.75" customHeight="1" x14ac:dyDescent="0.25">
      <c r="B454" s="4"/>
    </row>
    <row r="455" spans="2:2" ht="15.75" customHeight="1" x14ac:dyDescent="0.25">
      <c r="B455" s="4"/>
    </row>
    <row r="456" spans="2:2" ht="15.75" customHeight="1" x14ac:dyDescent="0.25">
      <c r="B456" s="4"/>
    </row>
    <row r="457" spans="2:2" ht="15.75" customHeight="1" x14ac:dyDescent="0.25">
      <c r="B457" s="4"/>
    </row>
    <row r="458" spans="2:2" ht="15.75" customHeight="1" x14ac:dyDescent="0.25">
      <c r="B458" s="4"/>
    </row>
    <row r="459" spans="2:2" ht="15.75" customHeight="1" x14ac:dyDescent="0.25">
      <c r="B459" s="4"/>
    </row>
    <row r="460" spans="2:2" ht="15.75" customHeight="1" x14ac:dyDescent="0.25">
      <c r="B460" s="4"/>
    </row>
    <row r="461" spans="2:2" ht="15.75" customHeight="1" x14ac:dyDescent="0.25">
      <c r="B461" s="4"/>
    </row>
    <row r="462" spans="2:2" ht="15.75" customHeight="1" x14ac:dyDescent="0.25">
      <c r="B462" s="4"/>
    </row>
    <row r="463" spans="2:2" ht="15.75" customHeight="1" x14ac:dyDescent="0.25">
      <c r="B463" s="4"/>
    </row>
    <row r="464" spans="2:2" ht="15.75" customHeight="1" x14ac:dyDescent="0.25">
      <c r="B464" s="4"/>
    </row>
    <row r="465" spans="2:2" ht="15.75" customHeight="1" x14ac:dyDescent="0.25">
      <c r="B465" s="4"/>
    </row>
    <row r="466" spans="2:2" ht="15.75" customHeight="1" x14ac:dyDescent="0.25">
      <c r="B466" s="4"/>
    </row>
    <row r="467" spans="2:2" ht="15.75" customHeight="1" x14ac:dyDescent="0.25">
      <c r="B467" s="4"/>
    </row>
    <row r="468" spans="2:2" ht="15.75" customHeight="1" x14ac:dyDescent="0.25">
      <c r="B468" s="4"/>
    </row>
    <row r="469" spans="2:2" ht="15.75" customHeight="1" x14ac:dyDescent="0.25">
      <c r="B469" s="4"/>
    </row>
    <row r="470" spans="2:2" ht="15.75" customHeight="1" x14ac:dyDescent="0.25">
      <c r="B470" s="4"/>
    </row>
    <row r="471" spans="2:2" ht="15.75" customHeight="1" x14ac:dyDescent="0.25">
      <c r="B471" s="4"/>
    </row>
    <row r="472" spans="2:2" ht="15.75" customHeight="1" x14ac:dyDescent="0.25">
      <c r="B472" s="4"/>
    </row>
    <row r="473" spans="2:2" ht="15.75" customHeight="1" x14ac:dyDescent="0.25">
      <c r="B473" s="4"/>
    </row>
    <row r="474" spans="2:2" ht="15.75" customHeight="1" x14ac:dyDescent="0.25">
      <c r="B474" s="4"/>
    </row>
    <row r="475" spans="2:2" ht="15.75" customHeight="1" x14ac:dyDescent="0.25">
      <c r="B475" s="4"/>
    </row>
    <row r="476" spans="2:2" ht="15.75" customHeight="1" x14ac:dyDescent="0.25">
      <c r="B476" s="4"/>
    </row>
    <row r="477" spans="2:2" ht="15.75" customHeight="1" x14ac:dyDescent="0.25">
      <c r="B477" s="4"/>
    </row>
    <row r="478" spans="2:2" ht="15.75" customHeight="1" x14ac:dyDescent="0.25">
      <c r="B478" s="4"/>
    </row>
    <row r="479" spans="2:2" ht="15.75" customHeight="1" x14ac:dyDescent="0.25">
      <c r="B479" s="4"/>
    </row>
    <row r="480" spans="2:2" ht="15.75" customHeight="1" x14ac:dyDescent="0.25">
      <c r="B480" s="4"/>
    </row>
    <row r="481" spans="2:2" ht="15.75" customHeight="1" x14ac:dyDescent="0.25">
      <c r="B481" s="4"/>
    </row>
    <row r="482" spans="2:2" ht="15.75" customHeight="1" x14ac:dyDescent="0.25">
      <c r="B482" s="4"/>
    </row>
    <row r="483" spans="2:2" ht="15.75" customHeight="1" x14ac:dyDescent="0.25">
      <c r="B483" s="4"/>
    </row>
    <row r="484" spans="2:2" ht="15.75" customHeight="1" x14ac:dyDescent="0.25">
      <c r="B484" s="4"/>
    </row>
    <row r="485" spans="2:2" ht="15.75" customHeight="1" x14ac:dyDescent="0.25">
      <c r="B485" s="4"/>
    </row>
    <row r="486" spans="2:2" ht="15.75" customHeight="1" x14ac:dyDescent="0.25">
      <c r="B486" s="4"/>
    </row>
    <row r="487" spans="2:2" ht="15.75" customHeight="1" x14ac:dyDescent="0.25">
      <c r="B487" s="4"/>
    </row>
    <row r="488" spans="2:2" ht="15.75" customHeight="1" x14ac:dyDescent="0.25">
      <c r="B488" s="4"/>
    </row>
    <row r="489" spans="2:2" ht="15.75" customHeight="1" x14ac:dyDescent="0.25">
      <c r="B489" s="4"/>
    </row>
    <row r="490" spans="2:2" ht="15.75" customHeight="1" x14ac:dyDescent="0.25">
      <c r="B490" s="4"/>
    </row>
    <row r="491" spans="2:2" ht="15.75" customHeight="1" x14ac:dyDescent="0.25">
      <c r="B491" s="4"/>
    </row>
    <row r="492" spans="2:2" ht="15.75" customHeight="1" x14ac:dyDescent="0.25">
      <c r="B492" s="4"/>
    </row>
    <row r="493" spans="2:2" ht="15.75" customHeight="1" x14ac:dyDescent="0.25">
      <c r="B493" s="4"/>
    </row>
    <row r="494" spans="2:2" ht="15.75" customHeight="1" x14ac:dyDescent="0.25">
      <c r="B494" s="4"/>
    </row>
    <row r="495" spans="2:2" ht="15.75" customHeight="1" x14ac:dyDescent="0.25">
      <c r="B495" s="4"/>
    </row>
    <row r="496" spans="2:2" ht="15.75" customHeight="1" x14ac:dyDescent="0.25">
      <c r="B496" s="4"/>
    </row>
    <row r="497" spans="2:2" ht="15.75" customHeight="1" x14ac:dyDescent="0.25">
      <c r="B497" s="4"/>
    </row>
    <row r="498" spans="2:2" ht="15.75" customHeight="1" x14ac:dyDescent="0.25">
      <c r="B498" s="4"/>
    </row>
    <row r="499" spans="2:2" ht="15.75" customHeight="1" x14ac:dyDescent="0.25">
      <c r="B499" s="4"/>
    </row>
    <row r="500" spans="2:2" ht="15.75" customHeight="1" x14ac:dyDescent="0.25">
      <c r="B500" s="4"/>
    </row>
    <row r="501" spans="2:2" ht="15.75" customHeight="1" x14ac:dyDescent="0.25">
      <c r="B501" s="4"/>
    </row>
    <row r="502" spans="2:2" ht="15.75" customHeight="1" x14ac:dyDescent="0.25">
      <c r="B502" s="4"/>
    </row>
    <row r="503" spans="2:2" ht="15.75" customHeight="1" x14ac:dyDescent="0.25">
      <c r="B503" s="4"/>
    </row>
    <row r="504" spans="2:2" ht="15.75" customHeight="1" x14ac:dyDescent="0.25">
      <c r="B504" s="4"/>
    </row>
    <row r="505" spans="2:2" ht="15.75" customHeight="1" x14ac:dyDescent="0.25">
      <c r="B505" s="4"/>
    </row>
    <row r="506" spans="2:2" ht="15.75" customHeight="1" x14ac:dyDescent="0.25">
      <c r="B506" s="4"/>
    </row>
    <row r="507" spans="2:2" ht="15.75" customHeight="1" x14ac:dyDescent="0.25">
      <c r="B507" s="4"/>
    </row>
    <row r="508" spans="2:2" ht="15.75" customHeight="1" x14ac:dyDescent="0.25">
      <c r="B508" s="4"/>
    </row>
    <row r="509" spans="2:2" ht="15.75" customHeight="1" x14ac:dyDescent="0.25">
      <c r="B509" s="4"/>
    </row>
    <row r="510" spans="2:2" ht="15.75" customHeight="1" x14ac:dyDescent="0.25">
      <c r="B510" s="4"/>
    </row>
    <row r="511" spans="2:2" ht="15.75" customHeight="1" x14ac:dyDescent="0.25">
      <c r="B511" s="4"/>
    </row>
    <row r="512" spans="2:2" ht="15.75" customHeight="1" x14ac:dyDescent="0.25">
      <c r="B512" s="4"/>
    </row>
    <row r="513" spans="2:2" ht="15.75" customHeight="1" x14ac:dyDescent="0.25">
      <c r="B513" s="4"/>
    </row>
    <row r="514" spans="2:2" ht="15.75" customHeight="1" x14ac:dyDescent="0.25">
      <c r="B514" s="4"/>
    </row>
    <row r="515" spans="2:2" ht="15.75" customHeight="1" x14ac:dyDescent="0.25">
      <c r="B515" s="4"/>
    </row>
    <row r="516" spans="2:2" ht="15.75" customHeight="1" x14ac:dyDescent="0.25">
      <c r="B516" s="4"/>
    </row>
    <row r="517" spans="2:2" ht="15.75" customHeight="1" x14ac:dyDescent="0.25">
      <c r="B517" s="4"/>
    </row>
    <row r="518" spans="2:2" ht="15.75" customHeight="1" x14ac:dyDescent="0.25">
      <c r="B518" s="4"/>
    </row>
    <row r="519" spans="2:2" ht="15.75" customHeight="1" x14ac:dyDescent="0.25">
      <c r="B519" s="4"/>
    </row>
    <row r="520" spans="2:2" ht="15.75" customHeight="1" x14ac:dyDescent="0.25">
      <c r="B520" s="4"/>
    </row>
    <row r="521" spans="2:2" ht="15.75" customHeight="1" x14ac:dyDescent="0.25">
      <c r="B521" s="4"/>
    </row>
    <row r="522" spans="2:2" ht="15.75" customHeight="1" x14ac:dyDescent="0.25">
      <c r="B522" s="4"/>
    </row>
    <row r="523" spans="2:2" ht="15.75" customHeight="1" x14ac:dyDescent="0.25">
      <c r="B523" s="4"/>
    </row>
    <row r="524" spans="2:2" ht="15.75" customHeight="1" x14ac:dyDescent="0.25">
      <c r="B524" s="4"/>
    </row>
    <row r="525" spans="2:2" ht="15.75" customHeight="1" x14ac:dyDescent="0.25">
      <c r="B525" s="4"/>
    </row>
    <row r="526" spans="2:2" ht="15.75" customHeight="1" x14ac:dyDescent="0.25">
      <c r="B526" s="4"/>
    </row>
    <row r="527" spans="2:2" ht="15.75" customHeight="1" x14ac:dyDescent="0.25">
      <c r="B527" s="4"/>
    </row>
    <row r="528" spans="2:2" ht="15.75" customHeight="1" x14ac:dyDescent="0.25">
      <c r="B528" s="4"/>
    </row>
    <row r="529" spans="2:2" ht="15.75" customHeight="1" x14ac:dyDescent="0.25">
      <c r="B529" s="4"/>
    </row>
    <row r="530" spans="2:2" ht="15.75" customHeight="1" x14ac:dyDescent="0.25">
      <c r="B530" s="4"/>
    </row>
    <row r="531" spans="2:2" ht="15.75" customHeight="1" x14ac:dyDescent="0.25">
      <c r="B531" s="4"/>
    </row>
    <row r="532" spans="2:2" ht="15.75" customHeight="1" x14ac:dyDescent="0.25">
      <c r="B532" s="4"/>
    </row>
    <row r="533" spans="2:2" ht="15.75" customHeight="1" x14ac:dyDescent="0.25">
      <c r="B533" s="4"/>
    </row>
    <row r="534" spans="2:2" ht="15.75" customHeight="1" x14ac:dyDescent="0.25">
      <c r="B534" s="4"/>
    </row>
    <row r="535" spans="2:2" ht="15.75" customHeight="1" x14ac:dyDescent="0.25">
      <c r="B535" s="4"/>
    </row>
    <row r="536" spans="2:2" ht="15.75" customHeight="1" x14ac:dyDescent="0.25">
      <c r="B536" s="4"/>
    </row>
    <row r="537" spans="2:2" ht="15.75" customHeight="1" x14ac:dyDescent="0.25">
      <c r="B537" s="4"/>
    </row>
    <row r="538" spans="2:2" ht="15.75" customHeight="1" x14ac:dyDescent="0.25">
      <c r="B538" s="4"/>
    </row>
    <row r="539" spans="2:2" ht="15.75" customHeight="1" x14ac:dyDescent="0.25">
      <c r="B539" s="4"/>
    </row>
    <row r="540" spans="2:2" ht="15.75" customHeight="1" x14ac:dyDescent="0.25">
      <c r="B540" s="4"/>
    </row>
    <row r="541" spans="2:2" ht="15.75" customHeight="1" x14ac:dyDescent="0.25">
      <c r="B541" s="4"/>
    </row>
    <row r="542" spans="2:2" ht="15.75" customHeight="1" x14ac:dyDescent="0.25">
      <c r="B542" s="4"/>
    </row>
    <row r="543" spans="2:2" ht="15.75" customHeight="1" x14ac:dyDescent="0.25">
      <c r="B543" s="4"/>
    </row>
    <row r="544" spans="2:2" ht="15.75" customHeight="1" x14ac:dyDescent="0.25">
      <c r="B544" s="4"/>
    </row>
    <row r="545" spans="2:2" ht="15.75" customHeight="1" x14ac:dyDescent="0.25">
      <c r="B545" s="4"/>
    </row>
    <row r="546" spans="2:2" ht="15.75" customHeight="1" x14ac:dyDescent="0.25">
      <c r="B546" s="4"/>
    </row>
    <row r="547" spans="2:2" ht="15.75" customHeight="1" x14ac:dyDescent="0.25">
      <c r="B547" s="4"/>
    </row>
    <row r="548" spans="2:2" ht="15.75" customHeight="1" x14ac:dyDescent="0.25">
      <c r="B548" s="4"/>
    </row>
    <row r="549" spans="2:2" ht="15.75" customHeight="1" x14ac:dyDescent="0.25">
      <c r="B549" s="4"/>
    </row>
    <row r="550" spans="2:2" ht="15.75" customHeight="1" x14ac:dyDescent="0.25">
      <c r="B550" s="4"/>
    </row>
    <row r="551" spans="2:2" ht="15.75" customHeight="1" x14ac:dyDescent="0.25">
      <c r="B551" s="4"/>
    </row>
    <row r="552" spans="2:2" ht="15.75" customHeight="1" x14ac:dyDescent="0.25">
      <c r="B552" s="4"/>
    </row>
    <row r="553" spans="2:2" ht="15.75" customHeight="1" x14ac:dyDescent="0.25">
      <c r="B553" s="4"/>
    </row>
    <row r="554" spans="2:2" ht="15.75" customHeight="1" x14ac:dyDescent="0.25">
      <c r="B554" s="4"/>
    </row>
    <row r="555" spans="2:2" ht="15.75" customHeight="1" x14ac:dyDescent="0.25">
      <c r="B555" s="4"/>
    </row>
    <row r="556" spans="2:2" ht="15.75" customHeight="1" x14ac:dyDescent="0.25">
      <c r="B556" s="4"/>
    </row>
    <row r="557" spans="2:2" ht="15.75" customHeight="1" x14ac:dyDescent="0.25">
      <c r="B557" s="4"/>
    </row>
    <row r="558" spans="2:2" ht="15.75" customHeight="1" x14ac:dyDescent="0.25">
      <c r="B558" s="4"/>
    </row>
    <row r="559" spans="2:2" ht="15.75" customHeight="1" x14ac:dyDescent="0.25">
      <c r="B559" s="4"/>
    </row>
    <row r="560" spans="2:2" ht="15.75" customHeight="1" x14ac:dyDescent="0.25">
      <c r="B560" s="4"/>
    </row>
    <row r="561" spans="2:2" ht="15.75" customHeight="1" x14ac:dyDescent="0.25">
      <c r="B561" s="4"/>
    </row>
    <row r="562" spans="2:2" ht="15.75" customHeight="1" x14ac:dyDescent="0.25">
      <c r="B562" s="4"/>
    </row>
    <row r="563" spans="2:2" ht="15.75" customHeight="1" x14ac:dyDescent="0.25">
      <c r="B563" s="4"/>
    </row>
    <row r="564" spans="2:2" ht="15.75" customHeight="1" x14ac:dyDescent="0.25">
      <c r="B564" s="4"/>
    </row>
    <row r="565" spans="2:2" ht="15.75" customHeight="1" x14ac:dyDescent="0.25">
      <c r="B565" s="4"/>
    </row>
    <row r="566" spans="2:2" ht="15.75" customHeight="1" x14ac:dyDescent="0.25">
      <c r="B566" s="4"/>
    </row>
    <row r="567" spans="2:2" ht="15.75" customHeight="1" x14ac:dyDescent="0.25">
      <c r="B567" s="4"/>
    </row>
    <row r="568" spans="2:2" ht="15.75" customHeight="1" x14ac:dyDescent="0.25">
      <c r="B568" s="4"/>
    </row>
    <row r="569" spans="2:2" ht="15.75" customHeight="1" x14ac:dyDescent="0.25">
      <c r="B569" s="4"/>
    </row>
    <row r="570" spans="2:2" ht="15.75" customHeight="1" x14ac:dyDescent="0.25">
      <c r="B570" s="4"/>
    </row>
    <row r="571" spans="2:2" ht="15.75" customHeight="1" x14ac:dyDescent="0.25">
      <c r="B571" s="4"/>
    </row>
    <row r="572" spans="2:2" ht="15.75" customHeight="1" x14ac:dyDescent="0.25">
      <c r="B572" s="4"/>
    </row>
    <row r="573" spans="2:2" ht="15.75" customHeight="1" x14ac:dyDescent="0.25">
      <c r="B573" s="4"/>
    </row>
    <row r="574" spans="2:2" ht="15.75" customHeight="1" x14ac:dyDescent="0.25">
      <c r="B574" s="4"/>
    </row>
    <row r="575" spans="2:2" ht="15.75" customHeight="1" x14ac:dyDescent="0.25">
      <c r="B575" s="4"/>
    </row>
    <row r="576" spans="2:2" ht="15.75" customHeight="1" x14ac:dyDescent="0.25">
      <c r="B576" s="4"/>
    </row>
    <row r="577" spans="2:2" ht="15.75" customHeight="1" x14ac:dyDescent="0.25">
      <c r="B577" s="4"/>
    </row>
    <row r="578" spans="2:2" ht="15.75" customHeight="1" x14ac:dyDescent="0.25">
      <c r="B578" s="4"/>
    </row>
    <row r="579" spans="2:2" ht="15.75" customHeight="1" x14ac:dyDescent="0.25">
      <c r="B579" s="4"/>
    </row>
    <row r="580" spans="2:2" ht="15.75" customHeight="1" x14ac:dyDescent="0.25">
      <c r="B580" s="4"/>
    </row>
    <row r="581" spans="2:2" ht="15.75" customHeight="1" x14ac:dyDescent="0.25">
      <c r="B581" s="4"/>
    </row>
    <row r="582" spans="2:2" ht="15.75" customHeight="1" x14ac:dyDescent="0.25">
      <c r="B582" s="4"/>
    </row>
    <row r="583" spans="2:2" ht="15.75" customHeight="1" x14ac:dyDescent="0.25">
      <c r="B583" s="4"/>
    </row>
    <row r="584" spans="2:2" ht="15.75" customHeight="1" x14ac:dyDescent="0.25">
      <c r="B584" s="4"/>
    </row>
    <row r="585" spans="2:2" ht="15.75" customHeight="1" x14ac:dyDescent="0.25">
      <c r="B585" s="4"/>
    </row>
    <row r="586" spans="2:2" ht="15.75" customHeight="1" x14ac:dyDescent="0.25">
      <c r="B586" s="4"/>
    </row>
    <row r="587" spans="2:2" ht="15.75" customHeight="1" x14ac:dyDescent="0.25">
      <c r="B587" s="4"/>
    </row>
    <row r="588" spans="2:2" ht="15.75" customHeight="1" x14ac:dyDescent="0.25">
      <c r="B588" s="4"/>
    </row>
    <row r="589" spans="2:2" ht="15.75" customHeight="1" x14ac:dyDescent="0.25">
      <c r="B589" s="4"/>
    </row>
    <row r="590" spans="2:2" ht="15.75" customHeight="1" x14ac:dyDescent="0.25">
      <c r="B590" s="4"/>
    </row>
    <row r="591" spans="2:2" ht="15.75" customHeight="1" x14ac:dyDescent="0.25">
      <c r="B591" s="4"/>
    </row>
    <row r="592" spans="2:2" ht="15.75" customHeight="1" x14ac:dyDescent="0.25">
      <c r="B592" s="4"/>
    </row>
    <row r="593" spans="2:2" ht="15.75" customHeight="1" x14ac:dyDescent="0.25">
      <c r="B593" s="4"/>
    </row>
    <row r="594" spans="2:2" ht="15.75" customHeight="1" x14ac:dyDescent="0.25">
      <c r="B594" s="4"/>
    </row>
    <row r="595" spans="2:2" ht="15.75" customHeight="1" x14ac:dyDescent="0.25">
      <c r="B595" s="4"/>
    </row>
    <row r="596" spans="2:2" ht="15.75" customHeight="1" x14ac:dyDescent="0.25">
      <c r="B596" s="4"/>
    </row>
    <row r="597" spans="2:2" ht="15.75" customHeight="1" x14ac:dyDescent="0.25">
      <c r="B597" s="4"/>
    </row>
    <row r="598" spans="2:2" ht="15.75" customHeight="1" x14ac:dyDescent="0.25">
      <c r="B598" s="4"/>
    </row>
    <row r="599" spans="2:2" ht="15.75" customHeight="1" x14ac:dyDescent="0.25">
      <c r="B599" s="4"/>
    </row>
    <row r="600" spans="2:2" ht="15.75" customHeight="1" x14ac:dyDescent="0.25">
      <c r="B600" s="4"/>
    </row>
    <row r="601" spans="2:2" ht="15.75" customHeight="1" x14ac:dyDescent="0.25">
      <c r="B601" s="4"/>
    </row>
    <row r="602" spans="2:2" ht="15.75" customHeight="1" x14ac:dyDescent="0.25">
      <c r="B602" s="4"/>
    </row>
    <row r="603" spans="2:2" ht="15.75" customHeight="1" x14ac:dyDescent="0.25">
      <c r="B603" s="4"/>
    </row>
    <row r="604" spans="2:2" ht="15.75" customHeight="1" x14ac:dyDescent="0.25">
      <c r="B604" s="4"/>
    </row>
    <row r="605" spans="2:2" ht="15.75" customHeight="1" x14ac:dyDescent="0.25">
      <c r="B605" s="4"/>
    </row>
    <row r="606" spans="2:2" ht="15.75" customHeight="1" x14ac:dyDescent="0.25">
      <c r="B606" s="4"/>
    </row>
    <row r="607" spans="2:2" ht="15.75" customHeight="1" x14ac:dyDescent="0.25">
      <c r="B607" s="4"/>
    </row>
    <row r="608" spans="2:2" ht="15.75" customHeight="1" x14ac:dyDescent="0.25">
      <c r="B608" s="4"/>
    </row>
    <row r="609" spans="2:2" ht="15.75" customHeight="1" x14ac:dyDescent="0.25">
      <c r="B609" s="4"/>
    </row>
    <row r="610" spans="2:2" ht="15.75" customHeight="1" x14ac:dyDescent="0.25">
      <c r="B610" s="4"/>
    </row>
    <row r="611" spans="2:2" ht="15.75" customHeight="1" x14ac:dyDescent="0.25">
      <c r="B611" s="4"/>
    </row>
    <row r="612" spans="2:2" ht="15.75" customHeight="1" x14ac:dyDescent="0.25">
      <c r="B612" s="4"/>
    </row>
    <row r="613" spans="2:2" ht="15.75" customHeight="1" x14ac:dyDescent="0.25">
      <c r="B613" s="4"/>
    </row>
    <row r="614" spans="2:2" ht="15.75" customHeight="1" x14ac:dyDescent="0.25">
      <c r="B614" s="4"/>
    </row>
    <row r="615" spans="2:2" ht="15.75" customHeight="1" x14ac:dyDescent="0.25">
      <c r="B615" s="4"/>
    </row>
    <row r="616" spans="2:2" ht="15.75" customHeight="1" x14ac:dyDescent="0.25">
      <c r="B616" s="4"/>
    </row>
    <row r="617" spans="2:2" ht="15.75" customHeight="1" x14ac:dyDescent="0.25">
      <c r="B617" s="4"/>
    </row>
    <row r="618" spans="2:2" ht="15.75" customHeight="1" x14ac:dyDescent="0.25">
      <c r="B618" s="4"/>
    </row>
    <row r="619" spans="2:2" ht="15.75" customHeight="1" x14ac:dyDescent="0.25">
      <c r="B619" s="4"/>
    </row>
    <row r="620" spans="2:2" ht="15.75" customHeight="1" x14ac:dyDescent="0.25">
      <c r="B620" s="4"/>
    </row>
    <row r="621" spans="2:2" ht="15.75" customHeight="1" x14ac:dyDescent="0.25">
      <c r="B621" s="4"/>
    </row>
    <row r="622" spans="2:2" ht="15.75" customHeight="1" x14ac:dyDescent="0.25">
      <c r="B622" s="4"/>
    </row>
    <row r="623" spans="2:2" ht="15.75" customHeight="1" x14ac:dyDescent="0.25">
      <c r="B623" s="4"/>
    </row>
    <row r="624" spans="2:2" ht="15.75" customHeight="1" x14ac:dyDescent="0.25">
      <c r="B624" s="4"/>
    </row>
    <row r="625" spans="2:2" ht="15.75" customHeight="1" x14ac:dyDescent="0.25">
      <c r="B625" s="4"/>
    </row>
    <row r="626" spans="2:2" ht="15.75" customHeight="1" x14ac:dyDescent="0.25">
      <c r="B626" s="4"/>
    </row>
    <row r="627" spans="2:2" ht="15.75" customHeight="1" x14ac:dyDescent="0.25">
      <c r="B627" s="4"/>
    </row>
    <row r="628" spans="2:2" ht="15.75" customHeight="1" x14ac:dyDescent="0.25">
      <c r="B628" s="4"/>
    </row>
    <row r="629" spans="2:2" ht="15.75" customHeight="1" x14ac:dyDescent="0.25">
      <c r="B629" s="4"/>
    </row>
    <row r="630" spans="2:2" ht="15.75" customHeight="1" x14ac:dyDescent="0.25">
      <c r="B630" s="4"/>
    </row>
    <row r="631" spans="2:2" ht="15.75" customHeight="1" x14ac:dyDescent="0.25">
      <c r="B631" s="4"/>
    </row>
    <row r="632" spans="2:2" ht="15.75" customHeight="1" x14ac:dyDescent="0.25">
      <c r="B632" s="4"/>
    </row>
    <row r="633" spans="2:2" ht="15.75" customHeight="1" x14ac:dyDescent="0.25">
      <c r="B633" s="4"/>
    </row>
    <row r="634" spans="2:2" ht="15.75" customHeight="1" x14ac:dyDescent="0.25">
      <c r="B634" s="4"/>
    </row>
    <row r="635" spans="2:2" ht="15.75" customHeight="1" x14ac:dyDescent="0.25">
      <c r="B635" s="4"/>
    </row>
    <row r="636" spans="2:2" ht="15.75" customHeight="1" x14ac:dyDescent="0.25">
      <c r="B636" s="4"/>
    </row>
    <row r="637" spans="2:2" ht="15.75" customHeight="1" x14ac:dyDescent="0.25">
      <c r="B637" s="4"/>
    </row>
    <row r="638" spans="2:2" ht="15.75" customHeight="1" x14ac:dyDescent="0.25">
      <c r="B638" s="4"/>
    </row>
    <row r="639" spans="2:2" ht="15.75" customHeight="1" x14ac:dyDescent="0.25">
      <c r="B639" s="4"/>
    </row>
    <row r="640" spans="2:2" ht="15.75" customHeight="1" x14ac:dyDescent="0.25">
      <c r="B640" s="4"/>
    </row>
    <row r="641" spans="2:2" ht="15.75" customHeight="1" x14ac:dyDescent="0.25">
      <c r="B641" s="4"/>
    </row>
    <row r="642" spans="2:2" ht="15.75" customHeight="1" x14ac:dyDescent="0.25">
      <c r="B642" s="4"/>
    </row>
    <row r="643" spans="2:2" ht="15.75" customHeight="1" x14ac:dyDescent="0.25">
      <c r="B643" s="4"/>
    </row>
    <row r="644" spans="2:2" ht="15.75" customHeight="1" x14ac:dyDescent="0.25">
      <c r="B644" s="4"/>
    </row>
    <row r="645" spans="2:2" ht="15.75" customHeight="1" x14ac:dyDescent="0.25">
      <c r="B645" s="4"/>
    </row>
    <row r="646" spans="2:2" ht="15.75" customHeight="1" x14ac:dyDescent="0.25">
      <c r="B646" s="4"/>
    </row>
    <row r="647" spans="2:2" ht="15.75" customHeight="1" x14ac:dyDescent="0.25">
      <c r="B647" s="4"/>
    </row>
    <row r="648" spans="2:2" ht="15.75" customHeight="1" x14ac:dyDescent="0.25">
      <c r="B648" s="4"/>
    </row>
    <row r="649" spans="2:2" ht="15.75" customHeight="1" x14ac:dyDescent="0.25">
      <c r="B649" s="4"/>
    </row>
    <row r="650" spans="2:2" ht="15.75" customHeight="1" x14ac:dyDescent="0.25">
      <c r="B650" s="4"/>
    </row>
    <row r="651" spans="2:2" ht="15.75" customHeight="1" x14ac:dyDescent="0.25">
      <c r="B651" s="4"/>
    </row>
    <row r="652" spans="2:2" ht="15.75" customHeight="1" x14ac:dyDescent="0.25">
      <c r="B652" s="4"/>
    </row>
    <row r="653" spans="2:2" ht="15.75" customHeight="1" x14ac:dyDescent="0.25">
      <c r="B653" s="4"/>
    </row>
    <row r="654" spans="2:2" ht="15.75" customHeight="1" x14ac:dyDescent="0.25">
      <c r="B654" s="4"/>
    </row>
    <row r="655" spans="2:2" ht="15.75" customHeight="1" x14ac:dyDescent="0.25">
      <c r="B655" s="4"/>
    </row>
    <row r="656" spans="2:2" ht="15.75" customHeight="1" x14ac:dyDescent="0.25">
      <c r="B656" s="4"/>
    </row>
    <row r="657" spans="2:2" ht="15.75" customHeight="1" x14ac:dyDescent="0.25">
      <c r="B657" s="4"/>
    </row>
    <row r="658" spans="2:2" ht="15.75" customHeight="1" x14ac:dyDescent="0.25">
      <c r="B658" s="4"/>
    </row>
    <row r="659" spans="2:2" ht="15.75" customHeight="1" x14ac:dyDescent="0.25">
      <c r="B659" s="4"/>
    </row>
    <row r="660" spans="2:2" ht="15.75" customHeight="1" x14ac:dyDescent="0.25">
      <c r="B660" s="4"/>
    </row>
    <row r="661" spans="2:2" ht="15.75" customHeight="1" x14ac:dyDescent="0.25">
      <c r="B661" s="4"/>
    </row>
    <row r="662" spans="2:2" ht="15.75" customHeight="1" x14ac:dyDescent="0.25">
      <c r="B662" s="4"/>
    </row>
    <row r="663" spans="2:2" ht="15.75" customHeight="1" x14ac:dyDescent="0.25">
      <c r="B663" s="4"/>
    </row>
    <row r="664" spans="2:2" ht="15.75" customHeight="1" x14ac:dyDescent="0.25">
      <c r="B664" s="4"/>
    </row>
    <row r="665" spans="2:2" ht="15.75" customHeight="1" x14ac:dyDescent="0.25">
      <c r="B665" s="4"/>
    </row>
    <row r="666" spans="2:2" ht="15.75" customHeight="1" x14ac:dyDescent="0.25">
      <c r="B666" s="4"/>
    </row>
    <row r="667" spans="2:2" ht="15.75" customHeight="1" x14ac:dyDescent="0.25">
      <c r="B667" s="4"/>
    </row>
    <row r="668" spans="2:2" ht="15.75" customHeight="1" x14ac:dyDescent="0.25">
      <c r="B668" s="4"/>
    </row>
    <row r="669" spans="2:2" ht="15.75" customHeight="1" x14ac:dyDescent="0.25">
      <c r="B669" s="4"/>
    </row>
    <row r="670" spans="2:2" ht="15.75" customHeight="1" x14ac:dyDescent="0.25">
      <c r="B670" s="4"/>
    </row>
    <row r="671" spans="2:2" ht="15.75" customHeight="1" x14ac:dyDescent="0.25">
      <c r="B671" s="4"/>
    </row>
    <row r="672" spans="2:2" ht="15.75" customHeight="1" x14ac:dyDescent="0.25">
      <c r="B672" s="4"/>
    </row>
    <row r="673" spans="2:2" ht="15.75" customHeight="1" x14ac:dyDescent="0.25">
      <c r="B673" s="4"/>
    </row>
    <row r="674" spans="2:2" ht="15.75" customHeight="1" x14ac:dyDescent="0.25">
      <c r="B674" s="4"/>
    </row>
    <row r="675" spans="2:2" ht="15.75" customHeight="1" x14ac:dyDescent="0.25">
      <c r="B675" s="4"/>
    </row>
    <row r="676" spans="2:2" ht="15.75" customHeight="1" x14ac:dyDescent="0.25">
      <c r="B676" s="4"/>
    </row>
    <row r="677" spans="2:2" ht="15.75" customHeight="1" x14ac:dyDescent="0.25">
      <c r="B677" s="4"/>
    </row>
    <row r="678" spans="2:2" ht="15.75" customHeight="1" x14ac:dyDescent="0.25">
      <c r="B678" s="4"/>
    </row>
    <row r="679" spans="2:2" ht="15.75" customHeight="1" x14ac:dyDescent="0.25">
      <c r="B679" s="4"/>
    </row>
    <row r="680" spans="2:2" ht="15.75" customHeight="1" x14ac:dyDescent="0.25">
      <c r="B680" s="4"/>
    </row>
    <row r="681" spans="2:2" ht="15.75" customHeight="1" x14ac:dyDescent="0.25">
      <c r="B681" s="4"/>
    </row>
    <row r="682" spans="2:2" ht="15.75" customHeight="1" x14ac:dyDescent="0.25">
      <c r="B682" s="4"/>
    </row>
    <row r="683" spans="2:2" ht="15.75" customHeight="1" x14ac:dyDescent="0.25">
      <c r="B683" s="4"/>
    </row>
    <row r="684" spans="2:2" ht="15.75" customHeight="1" x14ac:dyDescent="0.25">
      <c r="B684" s="4"/>
    </row>
    <row r="685" spans="2:2" ht="15.75" customHeight="1" x14ac:dyDescent="0.25">
      <c r="B685" s="4"/>
    </row>
    <row r="686" spans="2:2" ht="15.75" customHeight="1" x14ac:dyDescent="0.25">
      <c r="B686" s="4"/>
    </row>
    <row r="687" spans="2:2" ht="15.75" customHeight="1" x14ac:dyDescent="0.25">
      <c r="B687" s="4"/>
    </row>
    <row r="688" spans="2:2" ht="15.75" customHeight="1" x14ac:dyDescent="0.25">
      <c r="B688" s="4"/>
    </row>
    <row r="689" spans="2:2" ht="15.75" customHeight="1" x14ac:dyDescent="0.25">
      <c r="B689" s="4"/>
    </row>
    <row r="690" spans="2:2" ht="15.75" customHeight="1" x14ac:dyDescent="0.25">
      <c r="B690" s="4"/>
    </row>
    <row r="691" spans="2:2" ht="15.75" customHeight="1" x14ac:dyDescent="0.25">
      <c r="B691" s="4"/>
    </row>
    <row r="692" spans="2:2" ht="15.75" customHeight="1" x14ac:dyDescent="0.25">
      <c r="B692" s="4"/>
    </row>
    <row r="693" spans="2:2" ht="15.75" customHeight="1" x14ac:dyDescent="0.25">
      <c r="B693" s="4"/>
    </row>
    <row r="694" spans="2:2" ht="15.75" customHeight="1" x14ac:dyDescent="0.25">
      <c r="B694" s="4"/>
    </row>
    <row r="695" spans="2:2" ht="15.75" customHeight="1" x14ac:dyDescent="0.25">
      <c r="B695" s="4"/>
    </row>
    <row r="696" spans="2:2" ht="15.75" customHeight="1" x14ac:dyDescent="0.25">
      <c r="B696" s="4"/>
    </row>
    <row r="697" spans="2:2" ht="15.75" customHeight="1" x14ac:dyDescent="0.25">
      <c r="B697" s="4"/>
    </row>
    <row r="698" spans="2:2" ht="15.75" customHeight="1" x14ac:dyDescent="0.25">
      <c r="B698" s="4"/>
    </row>
    <row r="699" spans="2:2" ht="15.75" customHeight="1" x14ac:dyDescent="0.25">
      <c r="B699" s="4"/>
    </row>
    <row r="700" spans="2:2" ht="15.75" customHeight="1" x14ac:dyDescent="0.25">
      <c r="B700" s="4"/>
    </row>
    <row r="701" spans="2:2" ht="15.75" customHeight="1" x14ac:dyDescent="0.25">
      <c r="B701" s="4"/>
    </row>
    <row r="702" spans="2:2" ht="15.75" customHeight="1" x14ac:dyDescent="0.25">
      <c r="B702" s="4"/>
    </row>
    <row r="703" spans="2:2" ht="15.75" customHeight="1" x14ac:dyDescent="0.25">
      <c r="B703" s="4"/>
    </row>
    <row r="704" spans="2:2" ht="15.75" customHeight="1" x14ac:dyDescent="0.25">
      <c r="B704" s="4"/>
    </row>
    <row r="705" spans="2:2" ht="15.75" customHeight="1" x14ac:dyDescent="0.25">
      <c r="B705" s="4"/>
    </row>
    <row r="706" spans="2:2" ht="15.75" customHeight="1" x14ac:dyDescent="0.25">
      <c r="B706" s="4"/>
    </row>
    <row r="707" spans="2:2" ht="15.75" customHeight="1" x14ac:dyDescent="0.25">
      <c r="B707" s="4"/>
    </row>
    <row r="708" spans="2:2" ht="15.75" customHeight="1" x14ac:dyDescent="0.25">
      <c r="B708" s="4"/>
    </row>
    <row r="709" spans="2:2" ht="15.75" customHeight="1" x14ac:dyDescent="0.25">
      <c r="B709" s="4"/>
    </row>
    <row r="710" spans="2:2" ht="15.75" customHeight="1" x14ac:dyDescent="0.25">
      <c r="B710" s="4"/>
    </row>
    <row r="711" spans="2:2" ht="15.75" customHeight="1" x14ac:dyDescent="0.25">
      <c r="B711" s="4"/>
    </row>
    <row r="712" spans="2:2" ht="15.75" customHeight="1" x14ac:dyDescent="0.25">
      <c r="B712" s="4"/>
    </row>
    <row r="713" spans="2:2" ht="15.75" customHeight="1" x14ac:dyDescent="0.25">
      <c r="B713" s="4"/>
    </row>
    <row r="714" spans="2:2" ht="15.75" customHeight="1" x14ac:dyDescent="0.25">
      <c r="B714" s="4"/>
    </row>
    <row r="715" spans="2:2" ht="15.75" customHeight="1" x14ac:dyDescent="0.25">
      <c r="B715" s="4"/>
    </row>
    <row r="716" spans="2:2" ht="15.75" customHeight="1" x14ac:dyDescent="0.25">
      <c r="B716" s="4"/>
    </row>
    <row r="717" spans="2:2" ht="15.75" customHeight="1" x14ac:dyDescent="0.25">
      <c r="B717" s="4"/>
    </row>
    <row r="718" spans="2:2" ht="15.75" customHeight="1" x14ac:dyDescent="0.25">
      <c r="B718" s="4"/>
    </row>
    <row r="719" spans="2:2" ht="15.75" customHeight="1" x14ac:dyDescent="0.25">
      <c r="B719" s="4"/>
    </row>
    <row r="720" spans="2:2" ht="15.75" customHeight="1" x14ac:dyDescent="0.25">
      <c r="B720" s="4"/>
    </row>
    <row r="721" spans="2:2" ht="15.75" customHeight="1" x14ac:dyDescent="0.25">
      <c r="B721" s="4"/>
    </row>
    <row r="722" spans="2:2" ht="15.75" customHeight="1" x14ac:dyDescent="0.25">
      <c r="B722" s="4"/>
    </row>
    <row r="723" spans="2:2" ht="15.75" customHeight="1" x14ac:dyDescent="0.25">
      <c r="B723" s="4"/>
    </row>
    <row r="724" spans="2:2" ht="15.75" customHeight="1" x14ac:dyDescent="0.25">
      <c r="B724" s="4"/>
    </row>
    <row r="725" spans="2:2" ht="15.75" customHeight="1" x14ac:dyDescent="0.25">
      <c r="B725" s="4"/>
    </row>
    <row r="726" spans="2:2" ht="15.75" customHeight="1" x14ac:dyDescent="0.25">
      <c r="B726" s="4"/>
    </row>
    <row r="727" spans="2:2" ht="15.75" customHeight="1" x14ac:dyDescent="0.25">
      <c r="B727" s="4"/>
    </row>
    <row r="728" spans="2:2" ht="15.75" customHeight="1" x14ac:dyDescent="0.25">
      <c r="B728" s="4"/>
    </row>
    <row r="729" spans="2:2" ht="15.75" customHeight="1" x14ac:dyDescent="0.25">
      <c r="B729" s="4"/>
    </row>
    <row r="730" spans="2:2" ht="15.75" customHeight="1" x14ac:dyDescent="0.25">
      <c r="B730" s="4"/>
    </row>
    <row r="731" spans="2:2" ht="15.75" customHeight="1" x14ac:dyDescent="0.25">
      <c r="B731" s="4"/>
    </row>
    <row r="732" spans="2:2" ht="15.75" customHeight="1" x14ac:dyDescent="0.25">
      <c r="B732" s="4"/>
    </row>
    <row r="733" spans="2:2" ht="15.75" customHeight="1" x14ac:dyDescent="0.25">
      <c r="B733" s="4"/>
    </row>
    <row r="734" spans="2:2" ht="15.75" customHeight="1" x14ac:dyDescent="0.25">
      <c r="B734" s="4"/>
    </row>
    <row r="735" spans="2:2" ht="15.75" customHeight="1" x14ac:dyDescent="0.25">
      <c r="B735" s="4"/>
    </row>
    <row r="736" spans="2:2" ht="15.75" customHeight="1" x14ac:dyDescent="0.25">
      <c r="B736" s="4"/>
    </row>
    <row r="737" spans="2:2" ht="15.75" customHeight="1" x14ac:dyDescent="0.25">
      <c r="B737" s="4"/>
    </row>
    <row r="738" spans="2:2" ht="15.75" customHeight="1" x14ac:dyDescent="0.25">
      <c r="B738" s="4"/>
    </row>
    <row r="739" spans="2:2" ht="15.75" customHeight="1" x14ac:dyDescent="0.25">
      <c r="B739" s="4"/>
    </row>
    <row r="740" spans="2:2" ht="15.75" customHeight="1" x14ac:dyDescent="0.25">
      <c r="B740" s="4"/>
    </row>
    <row r="741" spans="2:2" ht="15.75" customHeight="1" x14ac:dyDescent="0.25">
      <c r="B741" s="4"/>
    </row>
    <row r="742" spans="2:2" ht="15.75" customHeight="1" x14ac:dyDescent="0.25">
      <c r="B742" s="4"/>
    </row>
    <row r="743" spans="2:2" ht="15.75" customHeight="1" x14ac:dyDescent="0.25">
      <c r="B743" s="4"/>
    </row>
    <row r="744" spans="2:2" ht="15.75" customHeight="1" x14ac:dyDescent="0.25">
      <c r="B744" s="4"/>
    </row>
    <row r="745" spans="2:2" ht="15.75" customHeight="1" x14ac:dyDescent="0.25">
      <c r="B745" s="4"/>
    </row>
    <row r="746" spans="2:2" ht="15.75" customHeight="1" x14ac:dyDescent="0.25">
      <c r="B746" s="4"/>
    </row>
    <row r="747" spans="2:2" ht="15.75" customHeight="1" x14ac:dyDescent="0.25">
      <c r="B747" s="4"/>
    </row>
    <row r="748" spans="2:2" ht="15.75" customHeight="1" x14ac:dyDescent="0.25">
      <c r="B748" s="4"/>
    </row>
    <row r="749" spans="2:2" ht="15.75" customHeight="1" x14ac:dyDescent="0.25">
      <c r="B749" s="4"/>
    </row>
    <row r="750" spans="2:2" ht="15.75" customHeight="1" x14ac:dyDescent="0.25">
      <c r="B750" s="4"/>
    </row>
    <row r="751" spans="2:2" ht="15.75" customHeight="1" x14ac:dyDescent="0.25">
      <c r="B751" s="4"/>
    </row>
    <row r="752" spans="2:2" ht="15.75" customHeight="1" x14ac:dyDescent="0.25">
      <c r="B752" s="4"/>
    </row>
    <row r="753" spans="2:2" ht="15.75" customHeight="1" x14ac:dyDescent="0.25">
      <c r="B753" s="4"/>
    </row>
    <row r="754" spans="2:2" ht="15.75" customHeight="1" x14ac:dyDescent="0.25">
      <c r="B754" s="4"/>
    </row>
    <row r="755" spans="2:2" ht="15.75" customHeight="1" x14ac:dyDescent="0.25">
      <c r="B755" s="4"/>
    </row>
    <row r="756" spans="2:2" ht="15.75" customHeight="1" x14ac:dyDescent="0.25">
      <c r="B756" s="4"/>
    </row>
    <row r="757" spans="2:2" ht="15.75" customHeight="1" x14ac:dyDescent="0.25">
      <c r="B757" s="4"/>
    </row>
    <row r="758" spans="2:2" ht="15.75" customHeight="1" x14ac:dyDescent="0.25">
      <c r="B758" s="4"/>
    </row>
    <row r="759" spans="2:2" ht="15.75" customHeight="1" x14ac:dyDescent="0.25">
      <c r="B759" s="4"/>
    </row>
    <row r="760" spans="2:2" ht="15.75" customHeight="1" x14ac:dyDescent="0.25">
      <c r="B760" s="4"/>
    </row>
    <row r="761" spans="2:2" ht="15.75" customHeight="1" x14ac:dyDescent="0.25">
      <c r="B761" s="4"/>
    </row>
    <row r="762" spans="2:2" ht="15.75" customHeight="1" x14ac:dyDescent="0.25">
      <c r="B762" s="4"/>
    </row>
    <row r="763" spans="2:2" ht="15.75" customHeight="1" x14ac:dyDescent="0.25">
      <c r="B763" s="4"/>
    </row>
    <row r="764" spans="2:2" ht="15.75" customHeight="1" x14ac:dyDescent="0.25">
      <c r="B764" s="4"/>
    </row>
    <row r="765" spans="2:2" ht="15.75" customHeight="1" x14ac:dyDescent="0.25">
      <c r="B765" s="4"/>
    </row>
    <row r="766" spans="2:2" ht="15.75" customHeight="1" x14ac:dyDescent="0.25">
      <c r="B766" s="4"/>
    </row>
    <row r="767" spans="2:2" ht="15.75" customHeight="1" x14ac:dyDescent="0.25">
      <c r="B767" s="4"/>
    </row>
    <row r="768" spans="2:2" ht="15.75" customHeight="1" x14ac:dyDescent="0.25">
      <c r="B768" s="4"/>
    </row>
    <row r="769" spans="2:2" ht="15.75" customHeight="1" x14ac:dyDescent="0.25">
      <c r="B769" s="4"/>
    </row>
    <row r="770" spans="2:2" ht="15.75" customHeight="1" x14ac:dyDescent="0.25">
      <c r="B770" s="4"/>
    </row>
    <row r="771" spans="2:2" ht="15.75" customHeight="1" x14ac:dyDescent="0.25">
      <c r="B771" s="4"/>
    </row>
    <row r="772" spans="2:2" ht="15.75" customHeight="1" x14ac:dyDescent="0.25">
      <c r="B772" s="4"/>
    </row>
    <row r="773" spans="2:2" ht="15.75" customHeight="1" x14ac:dyDescent="0.25">
      <c r="B773" s="4"/>
    </row>
    <row r="774" spans="2:2" ht="15.75" customHeight="1" x14ac:dyDescent="0.25">
      <c r="B774" s="4"/>
    </row>
    <row r="775" spans="2:2" ht="15.75" customHeight="1" x14ac:dyDescent="0.25">
      <c r="B775" s="4"/>
    </row>
    <row r="776" spans="2:2" ht="15.75" customHeight="1" x14ac:dyDescent="0.25">
      <c r="B776" s="4"/>
    </row>
    <row r="777" spans="2:2" ht="15.75" customHeight="1" x14ac:dyDescent="0.25">
      <c r="B777" s="4"/>
    </row>
    <row r="778" spans="2:2" ht="15.75" customHeight="1" x14ac:dyDescent="0.25">
      <c r="B778" s="4"/>
    </row>
    <row r="779" spans="2:2" ht="15.75" customHeight="1" x14ac:dyDescent="0.25">
      <c r="B779" s="4"/>
    </row>
    <row r="780" spans="2:2" ht="15.75" customHeight="1" x14ac:dyDescent="0.25">
      <c r="B780" s="4"/>
    </row>
    <row r="781" spans="2:2" ht="15.75" customHeight="1" x14ac:dyDescent="0.25">
      <c r="B781" s="4"/>
    </row>
    <row r="782" spans="2:2" ht="15.75" customHeight="1" x14ac:dyDescent="0.25">
      <c r="B782" s="4"/>
    </row>
    <row r="783" spans="2:2" ht="15.75" customHeight="1" x14ac:dyDescent="0.25">
      <c r="B783" s="4"/>
    </row>
    <row r="784" spans="2:2" ht="15.75" customHeight="1" x14ac:dyDescent="0.25">
      <c r="B784" s="4"/>
    </row>
    <row r="785" spans="2:2" ht="15.75" customHeight="1" x14ac:dyDescent="0.25">
      <c r="B785" s="4"/>
    </row>
    <row r="786" spans="2:2" ht="15.75" customHeight="1" x14ac:dyDescent="0.25">
      <c r="B786" s="4"/>
    </row>
    <row r="787" spans="2:2" ht="15.75" customHeight="1" x14ac:dyDescent="0.25">
      <c r="B787" s="4"/>
    </row>
    <row r="788" spans="2:2" ht="15.75" customHeight="1" x14ac:dyDescent="0.25">
      <c r="B788" s="4"/>
    </row>
    <row r="789" spans="2:2" ht="15.75" customHeight="1" x14ac:dyDescent="0.25">
      <c r="B789" s="4"/>
    </row>
    <row r="790" spans="2:2" ht="15.75" customHeight="1" x14ac:dyDescent="0.25">
      <c r="B790" s="4"/>
    </row>
    <row r="791" spans="2:2" ht="15.75" customHeight="1" x14ac:dyDescent="0.25">
      <c r="B791" s="4"/>
    </row>
    <row r="792" spans="2:2" ht="15.75" customHeight="1" x14ac:dyDescent="0.25">
      <c r="B792" s="4"/>
    </row>
    <row r="793" spans="2:2" ht="15.75" customHeight="1" x14ac:dyDescent="0.25">
      <c r="B793" s="4"/>
    </row>
    <row r="794" spans="2:2" ht="15.75" customHeight="1" x14ac:dyDescent="0.25">
      <c r="B794" s="4"/>
    </row>
    <row r="795" spans="2:2" ht="15.75" customHeight="1" x14ac:dyDescent="0.25">
      <c r="B795" s="4"/>
    </row>
    <row r="796" spans="2:2" ht="15.75" customHeight="1" x14ac:dyDescent="0.25">
      <c r="B796" s="4"/>
    </row>
    <row r="797" spans="2:2" ht="15.75" customHeight="1" x14ac:dyDescent="0.25">
      <c r="B797" s="4"/>
    </row>
    <row r="798" spans="2:2" ht="15.75" customHeight="1" x14ac:dyDescent="0.25">
      <c r="B798" s="4"/>
    </row>
    <row r="799" spans="2:2" ht="15.75" customHeight="1" x14ac:dyDescent="0.25">
      <c r="B799" s="4"/>
    </row>
    <row r="800" spans="2:2" ht="15.75" customHeight="1" x14ac:dyDescent="0.25">
      <c r="B800" s="4"/>
    </row>
    <row r="801" spans="2:2" ht="15.75" customHeight="1" x14ac:dyDescent="0.25">
      <c r="B801" s="4"/>
    </row>
    <row r="802" spans="2:2" ht="15.75" customHeight="1" x14ac:dyDescent="0.25">
      <c r="B802" s="4"/>
    </row>
    <row r="803" spans="2:2" ht="15.75" customHeight="1" x14ac:dyDescent="0.25">
      <c r="B803" s="4"/>
    </row>
    <row r="804" spans="2:2" ht="15.75" customHeight="1" x14ac:dyDescent="0.25">
      <c r="B804" s="4"/>
    </row>
    <row r="805" spans="2:2" ht="15.75" customHeight="1" x14ac:dyDescent="0.25">
      <c r="B805" s="4"/>
    </row>
    <row r="806" spans="2:2" ht="15.75" customHeight="1" x14ac:dyDescent="0.25">
      <c r="B806" s="4"/>
    </row>
    <row r="807" spans="2:2" ht="15.75" customHeight="1" x14ac:dyDescent="0.25">
      <c r="B807" s="4"/>
    </row>
    <row r="808" spans="2:2" ht="15.75" customHeight="1" x14ac:dyDescent="0.25">
      <c r="B808" s="4"/>
    </row>
    <row r="809" spans="2:2" ht="15.75" customHeight="1" x14ac:dyDescent="0.25">
      <c r="B809" s="4"/>
    </row>
    <row r="810" spans="2:2" ht="15.75" customHeight="1" x14ac:dyDescent="0.25">
      <c r="B810" s="4"/>
    </row>
    <row r="811" spans="2:2" ht="15.75" customHeight="1" x14ac:dyDescent="0.25">
      <c r="B811" s="4"/>
    </row>
    <row r="812" spans="2:2" ht="15.75" customHeight="1" x14ac:dyDescent="0.25">
      <c r="B812" s="4"/>
    </row>
    <row r="813" spans="2:2" ht="15.75" customHeight="1" x14ac:dyDescent="0.25">
      <c r="B813" s="4"/>
    </row>
    <row r="814" spans="2:2" ht="15.75" customHeight="1" x14ac:dyDescent="0.25">
      <c r="B814" s="4"/>
    </row>
    <row r="815" spans="2:2" ht="15.75" customHeight="1" x14ac:dyDescent="0.25">
      <c r="B815" s="4"/>
    </row>
    <row r="816" spans="2:2" ht="15.75" customHeight="1" x14ac:dyDescent="0.25">
      <c r="B816" s="4"/>
    </row>
    <row r="817" spans="2:2" ht="15.75" customHeight="1" x14ac:dyDescent="0.25">
      <c r="B817" s="4"/>
    </row>
    <row r="818" spans="2:2" ht="15.75" customHeight="1" x14ac:dyDescent="0.25">
      <c r="B818" s="4"/>
    </row>
    <row r="819" spans="2:2" ht="15.75" customHeight="1" x14ac:dyDescent="0.25">
      <c r="B819" s="4"/>
    </row>
    <row r="820" spans="2:2" ht="15.75" customHeight="1" x14ac:dyDescent="0.25">
      <c r="B820" s="4"/>
    </row>
    <row r="821" spans="2:2" ht="15.75" customHeight="1" x14ac:dyDescent="0.25">
      <c r="B821" s="4"/>
    </row>
    <row r="822" spans="2:2" ht="15.75" customHeight="1" x14ac:dyDescent="0.25">
      <c r="B822" s="4"/>
    </row>
    <row r="823" spans="2:2" ht="15.75" customHeight="1" x14ac:dyDescent="0.25">
      <c r="B823" s="4"/>
    </row>
    <row r="824" spans="2:2" ht="15.75" customHeight="1" x14ac:dyDescent="0.25">
      <c r="B824" s="4"/>
    </row>
    <row r="825" spans="2:2" ht="15.75" customHeight="1" x14ac:dyDescent="0.25">
      <c r="B825" s="4"/>
    </row>
    <row r="826" spans="2:2" ht="15.75" customHeight="1" x14ac:dyDescent="0.25">
      <c r="B826" s="4"/>
    </row>
    <row r="827" spans="2:2" ht="15.75" customHeight="1" x14ac:dyDescent="0.25">
      <c r="B827" s="4"/>
    </row>
    <row r="828" spans="2:2" ht="15.75" customHeight="1" x14ac:dyDescent="0.25">
      <c r="B828" s="4"/>
    </row>
    <row r="829" spans="2:2" ht="15.75" customHeight="1" x14ac:dyDescent="0.25">
      <c r="B829" s="4"/>
    </row>
    <row r="830" spans="2:2" ht="15.75" customHeight="1" x14ac:dyDescent="0.25">
      <c r="B830" s="4"/>
    </row>
    <row r="831" spans="2:2" ht="15.75" customHeight="1" x14ac:dyDescent="0.25">
      <c r="B831" s="4"/>
    </row>
    <row r="832" spans="2:2" ht="15.75" customHeight="1" x14ac:dyDescent="0.25">
      <c r="B832" s="4"/>
    </row>
    <row r="833" spans="2:2" ht="15.75" customHeight="1" x14ac:dyDescent="0.25">
      <c r="B833" s="4"/>
    </row>
    <row r="834" spans="2:2" ht="15.75" customHeight="1" x14ac:dyDescent="0.25">
      <c r="B834" s="4"/>
    </row>
    <row r="835" spans="2:2" ht="15.75" customHeight="1" x14ac:dyDescent="0.25">
      <c r="B835" s="4"/>
    </row>
    <row r="836" spans="2:2" ht="15.75" customHeight="1" x14ac:dyDescent="0.25">
      <c r="B836" s="4"/>
    </row>
    <row r="837" spans="2:2" ht="15.75" customHeight="1" x14ac:dyDescent="0.25">
      <c r="B837" s="4"/>
    </row>
    <row r="838" spans="2:2" ht="15.75" customHeight="1" x14ac:dyDescent="0.25">
      <c r="B838" s="4"/>
    </row>
    <row r="839" spans="2:2" ht="15.75" customHeight="1" x14ac:dyDescent="0.25">
      <c r="B839" s="4"/>
    </row>
    <row r="840" spans="2:2" ht="15.75" customHeight="1" x14ac:dyDescent="0.25">
      <c r="B840" s="4"/>
    </row>
    <row r="841" spans="2:2" ht="15.75" customHeight="1" x14ac:dyDescent="0.25">
      <c r="B841" s="4"/>
    </row>
    <row r="842" spans="2:2" ht="15.75" customHeight="1" x14ac:dyDescent="0.25">
      <c r="B842" s="4"/>
    </row>
    <row r="843" spans="2:2" ht="15.75" customHeight="1" x14ac:dyDescent="0.25">
      <c r="B843" s="4"/>
    </row>
    <row r="844" spans="2:2" ht="15.75" customHeight="1" x14ac:dyDescent="0.25">
      <c r="B844" s="4"/>
    </row>
    <row r="845" spans="2:2" ht="15.75" customHeight="1" x14ac:dyDescent="0.25">
      <c r="B845" s="4"/>
    </row>
    <row r="846" spans="2:2" ht="15.75" customHeight="1" x14ac:dyDescent="0.25">
      <c r="B846" s="4"/>
    </row>
    <row r="847" spans="2:2" ht="15.75" customHeight="1" x14ac:dyDescent="0.25">
      <c r="B847" s="4"/>
    </row>
    <row r="848" spans="2:2" ht="15.75" customHeight="1" x14ac:dyDescent="0.25">
      <c r="B848" s="4"/>
    </row>
    <row r="849" spans="2:2" ht="15.75" customHeight="1" x14ac:dyDescent="0.25">
      <c r="B849" s="4"/>
    </row>
    <row r="850" spans="2:2" ht="15.75" customHeight="1" x14ac:dyDescent="0.25">
      <c r="B850" s="4"/>
    </row>
    <row r="851" spans="2:2" ht="15.75" customHeight="1" x14ac:dyDescent="0.25">
      <c r="B851" s="4"/>
    </row>
    <row r="852" spans="2:2" ht="15.75" customHeight="1" x14ac:dyDescent="0.25">
      <c r="B852" s="4"/>
    </row>
    <row r="853" spans="2:2" ht="15.75" customHeight="1" x14ac:dyDescent="0.25">
      <c r="B853" s="4"/>
    </row>
    <row r="854" spans="2:2" ht="15.75" customHeight="1" x14ac:dyDescent="0.25">
      <c r="B854" s="4"/>
    </row>
    <row r="855" spans="2:2" ht="15.75" customHeight="1" x14ac:dyDescent="0.25">
      <c r="B855" s="4"/>
    </row>
    <row r="856" spans="2:2" ht="15.75" customHeight="1" x14ac:dyDescent="0.25">
      <c r="B856" s="4"/>
    </row>
    <row r="857" spans="2:2" ht="15.75" customHeight="1" x14ac:dyDescent="0.25">
      <c r="B857" s="4"/>
    </row>
    <row r="858" spans="2:2" ht="15.75" customHeight="1" x14ac:dyDescent="0.25">
      <c r="B858" s="4"/>
    </row>
    <row r="859" spans="2:2" ht="15.75" customHeight="1" x14ac:dyDescent="0.25">
      <c r="B859" s="4"/>
    </row>
    <row r="860" spans="2:2" ht="15.75" customHeight="1" x14ac:dyDescent="0.25">
      <c r="B860" s="4"/>
    </row>
    <row r="861" spans="2:2" ht="15.75" customHeight="1" x14ac:dyDescent="0.25">
      <c r="B861" s="4"/>
    </row>
    <row r="862" spans="2:2" ht="15.75" customHeight="1" x14ac:dyDescent="0.25">
      <c r="B862" s="4"/>
    </row>
    <row r="863" spans="2:2" ht="15.75" customHeight="1" x14ac:dyDescent="0.25">
      <c r="B863" s="4"/>
    </row>
    <row r="864" spans="2:2" ht="15.75" customHeight="1" x14ac:dyDescent="0.25">
      <c r="B864" s="4"/>
    </row>
    <row r="865" spans="2:2" ht="15.75" customHeight="1" x14ac:dyDescent="0.25">
      <c r="B865" s="4"/>
    </row>
    <row r="866" spans="2:2" ht="15.75" customHeight="1" x14ac:dyDescent="0.25">
      <c r="B866" s="4"/>
    </row>
    <row r="867" spans="2:2" ht="15.75" customHeight="1" x14ac:dyDescent="0.25">
      <c r="B867" s="4"/>
    </row>
    <row r="868" spans="2:2" ht="15.75" customHeight="1" x14ac:dyDescent="0.25">
      <c r="B868" s="4"/>
    </row>
    <row r="869" spans="2:2" ht="15.75" customHeight="1" x14ac:dyDescent="0.25">
      <c r="B869" s="4"/>
    </row>
    <row r="870" spans="2:2" ht="15.75" customHeight="1" x14ac:dyDescent="0.25">
      <c r="B870" s="4"/>
    </row>
    <row r="871" spans="2:2" ht="15.75" customHeight="1" x14ac:dyDescent="0.25">
      <c r="B871" s="4"/>
    </row>
    <row r="872" spans="2:2" ht="15.75" customHeight="1" x14ac:dyDescent="0.25">
      <c r="B872" s="4"/>
    </row>
    <row r="873" spans="2:2" ht="15.75" customHeight="1" x14ac:dyDescent="0.25">
      <c r="B873" s="4"/>
    </row>
    <row r="874" spans="2:2" ht="15.75" customHeight="1" x14ac:dyDescent="0.25">
      <c r="B874" s="4"/>
    </row>
    <row r="875" spans="2:2" ht="15.75" customHeight="1" x14ac:dyDescent="0.25">
      <c r="B875" s="4"/>
    </row>
    <row r="876" spans="2:2" ht="15.75" customHeight="1" x14ac:dyDescent="0.25">
      <c r="B876" s="4"/>
    </row>
    <row r="877" spans="2:2" ht="15.75" customHeight="1" x14ac:dyDescent="0.25">
      <c r="B877" s="4"/>
    </row>
    <row r="878" spans="2:2" ht="15.75" customHeight="1" x14ac:dyDescent="0.25">
      <c r="B878" s="4"/>
    </row>
    <row r="879" spans="2:2" ht="15.75" customHeight="1" x14ac:dyDescent="0.25">
      <c r="B879" s="4"/>
    </row>
    <row r="880" spans="2:2" ht="15.75" customHeight="1" x14ac:dyDescent="0.25">
      <c r="B880" s="4"/>
    </row>
    <row r="881" spans="2:2" ht="15.75" customHeight="1" x14ac:dyDescent="0.25">
      <c r="B881" s="4"/>
    </row>
    <row r="882" spans="2:2" ht="15.75" customHeight="1" x14ac:dyDescent="0.25">
      <c r="B882" s="4"/>
    </row>
    <row r="883" spans="2:2" ht="15.75" customHeight="1" x14ac:dyDescent="0.25">
      <c r="B883" s="4"/>
    </row>
    <row r="884" spans="2:2" ht="15.75" customHeight="1" x14ac:dyDescent="0.25">
      <c r="B884" s="4"/>
    </row>
    <row r="885" spans="2:2" ht="15.75" customHeight="1" x14ac:dyDescent="0.25">
      <c r="B885" s="4"/>
    </row>
    <row r="886" spans="2:2" ht="15.75" customHeight="1" x14ac:dyDescent="0.25">
      <c r="B886" s="4"/>
    </row>
    <row r="887" spans="2:2" ht="15.75" customHeight="1" x14ac:dyDescent="0.25">
      <c r="B887" s="4"/>
    </row>
    <row r="888" spans="2:2" ht="15.75" customHeight="1" x14ac:dyDescent="0.25">
      <c r="B888" s="4"/>
    </row>
    <row r="889" spans="2:2" ht="15.75" customHeight="1" x14ac:dyDescent="0.25">
      <c r="B889" s="4"/>
    </row>
    <row r="890" spans="2:2" ht="15.75" customHeight="1" x14ac:dyDescent="0.25">
      <c r="B890" s="4"/>
    </row>
    <row r="891" spans="2:2" ht="15.75" customHeight="1" x14ac:dyDescent="0.25">
      <c r="B891" s="4"/>
    </row>
    <row r="892" spans="2:2" ht="15.75" customHeight="1" x14ac:dyDescent="0.25">
      <c r="B892" s="4"/>
    </row>
    <row r="893" spans="2:2" ht="15.75" customHeight="1" x14ac:dyDescent="0.25">
      <c r="B893" s="4"/>
    </row>
    <row r="894" spans="2:2" ht="15.75" customHeight="1" x14ac:dyDescent="0.25">
      <c r="B894" s="4"/>
    </row>
    <row r="895" spans="2:2" ht="15.75" customHeight="1" x14ac:dyDescent="0.25">
      <c r="B895" s="4"/>
    </row>
    <row r="896" spans="2:2" ht="15.75" customHeight="1" x14ac:dyDescent="0.25">
      <c r="B896" s="4"/>
    </row>
    <row r="897" spans="2:2" ht="15.75" customHeight="1" x14ac:dyDescent="0.25">
      <c r="B897" s="4"/>
    </row>
    <row r="898" spans="2:2" ht="15.75" customHeight="1" x14ac:dyDescent="0.25">
      <c r="B898" s="4"/>
    </row>
    <row r="899" spans="2:2" ht="15.75" customHeight="1" x14ac:dyDescent="0.25">
      <c r="B899" s="4"/>
    </row>
    <row r="900" spans="2:2" ht="15.75" customHeight="1" x14ac:dyDescent="0.25">
      <c r="B900" s="4"/>
    </row>
    <row r="901" spans="2:2" ht="15.75" customHeight="1" x14ac:dyDescent="0.25">
      <c r="B901" s="4"/>
    </row>
    <row r="902" spans="2:2" ht="15.75" customHeight="1" x14ac:dyDescent="0.25">
      <c r="B902" s="4"/>
    </row>
    <row r="903" spans="2:2" ht="15.75" customHeight="1" x14ac:dyDescent="0.25">
      <c r="B903" s="4"/>
    </row>
    <row r="904" spans="2:2" ht="15.75" customHeight="1" x14ac:dyDescent="0.25">
      <c r="B904" s="4"/>
    </row>
    <row r="905" spans="2:2" ht="15.75" customHeight="1" x14ac:dyDescent="0.25">
      <c r="B905" s="4"/>
    </row>
    <row r="906" spans="2:2" ht="15.75" customHeight="1" x14ac:dyDescent="0.25">
      <c r="B906" s="4"/>
    </row>
    <row r="907" spans="2:2" ht="15.75" customHeight="1" x14ac:dyDescent="0.25">
      <c r="B907" s="4"/>
    </row>
    <row r="908" spans="2:2" ht="15.75" customHeight="1" x14ac:dyDescent="0.25">
      <c r="B908" s="4"/>
    </row>
    <row r="909" spans="2:2" ht="15.75" customHeight="1" x14ac:dyDescent="0.25">
      <c r="B909" s="4"/>
    </row>
    <row r="910" spans="2:2" ht="15.75" customHeight="1" x14ac:dyDescent="0.25">
      <c r="B910" s="4"/>
    </row>
    <row r="911" spans="2:2" ht="15.75" customHeight="1" x14ac:dyDescent="0.25">
      <c r="B911" s="4"/>
    </row>
    <row r="912" spans="2:2" ht="15.75" customHeight="1" x14ac:dyDescent="0.25">
      <c r="B912" s="4"/>
    </row>
    <row r="913" spans="2:2" ht="15.75" customHeight="1" x14ac:dyDescent="0.25">
      <c r="B913" s="4"/>
    </row>
    <row r="914" spans="2:2" ht="15.75" customHeight="1" x14ac:dyDescent="0.25">
      <c r="B914" s="4"/>
    </row>
    <row r="915" spans="2:2" ht="15.75" customHeight="1" x14ac:dyDescent="0.25">
      <c r="B915" s="4"/>
    </row>
    <row r="916" spans="2:2" ht="15.75" customHeight="1" x14ac:dyDescent="0.25">
      <c r="B916" s="4"/>
    </row>
    <row r="917" spans="2:2" ht="15.75" customHeight="1" x14ac:dyDescent="0.25">
      <c r="B917" s="4"/>
    </row>
    <row r="918" spans="2:2" ht="15.75" customHeight="1" x14ac:dyDescent="0.25">
      <c r="B918" s="4"/>
    </row>
    <row r="919" spans="2:2" ht="15.75" customHeight="1" x14ac:dyDescent="0.25">
      <c r="B919" s="4"/>
    </row>
    <row r="920" spans="2:2" ht="15.75" customHeight="1" x14ac:dyDescent="0.25">
      <c r="B920" s="4"/>
    </row>
    <row r="921" spans="2:2" ht="15.75" customHeight="1" x14ac:dyDescent="0.25">
      <c r="B921" s="4"/>
    </row>
    <row r="922" spans="2:2" ht="15.75" customHeight="1" x14ac:dyDescent="0.25">
      <c r="B922" s="4"/>
    </row>
    <row r="923" spans="2:2" ht="15.75" customHeight="1" x14ac:dyDescent="0.25">
      <c r="B923" s="4"/>
    </row>
    <row r="924" spans="2:2" ht="15.75" customHeight="1" x14ac:dyDescent="0.25">
      <c r="B924" s="4"/>
    </row>
    <row r="925" spans="2:2" ht="15.75" customHeight="1" x14ac:dyDescent="0.25">
      <c r="B925" s="4"/>
    </row>
    <row r="926" spans="2:2" ht="15.75" customHeight="1" x14ac:dyDescent="0.25">
      <c r="B926" s="4"/>
    </row>
    <row r="927" spans="2:2" ht="15.75" customHeight="1" x14ac:dyDescent="0.25">
      <c r="B927" s="4"/>
    </row>
    <row r="928" spans="2:2" ht="15.75" customHeight="1" x14ac:dyDescent="0.25">
      <c r="B928" s="4"/>
    </row>
    <row r="929" spans="2:2" ht="15.75" customHeight="1" x14ac:dyDescent="0.25">
      <c r="B929" s="4"/>
    </row>
    <row r="930" spans="2:2" ht="15.75" customHeight="1" x14ac:dyDescent="0.25">
      <c r="B930" s="4"/>
    </row>
    <row r="931" spans="2:2" ht="15.75" customHeight="1" x14ac:dyDescent="0.25">
      <c r="B931" s="4"/>
    </row>
    <row r="932" spans="2:2" ht="15.75" customHeight="1" x14ac:dyDescent="0.25">
      <c r="B932" s="4"/>
    </row>
    <row r="933" spans="2:2" ht="15.75" customHeight="1" x14ac:dyDescent="0.25">
      <c r="B933" s="4"/>
    </row>
    <row r="934" spans="2:2" ht="15.75" customHeight="1" x14ac:dyDescent="0.25">
      <c r="B934" s="4"/>
    </row>
    <row r="935" spans="2:2" ht="15.75" customHeight="1" x14ac:dyDescent="0.25">
      <c r="B935" s="4"/>
    </row>
    <row r="936" spans="2:2" ht="15.75" customHeight="1" x14ac:dyDescent="0.25">
      <c r="B936" s="4"/>
    </row>
    <row r="937" spans="2:2" ht="15.75" customHeight="1" x14ac:dyDescent="0.25">
      <c r="B937" s="4"/>
    </row>
    <row r="938" spans="2:2" ht="15.75" customHeight="1" x14ac:dyDescent="0.25">
      <c r="B938" s="4"/>
    </row>
    <row r="939" spans="2:2" ht="15.75" customHeight="1" x14ac:dyDescent="0.25">
      <c r="B939" s="4"/>
    </row>
    <row r="940" spans="2:2" ht="15.75" customHeight="1" x14ac:dyDescent="0.25">
      <c r="B940" s="4"/>
    </row>
    <row r="941" spans="2:2" ht="15.75" customHeight="1" x14ac:dyDescent="0.25">
      <c r="B941" s="4"/>
    </row>
    <row r="942" spans="2:2" ht="15.75" customHeight="1" x14ac:dyDescent="0.25">
      <c r="B942" s="4"/>
    </row>
    <row r="943" spans="2:2" ht="15.75" customHeight="1" x14ac:dyDescent="0.25">
      <c r="B943" s="4"/>
    </row>
    <row r="944" spans="2:2" ht="15.75" customHeight="1" x14ac:dyDescent="0.25">
      <c r="B944" s="4"/>
    </row>
    <row r="945" spans="2:2" ht="15.75" customHeight="1" x14ac:dyDescent="0.25">
      <c r="B945" s="4"/>
    </row>
    <row r="946" spans="2:2" ht="15.75" customHeight="1" x14ac:dyDescent="0.25">
      <c r="B946" s="4"/>
    </row>
    <row r="947" spans="2:2" ht="15.75" customHeight="1" x14ac:dyDescent="0.25">
      <c r="B947" s="4"/>
    </row>
    <row r="948" spans="2:2" ht="15.75" customHeight="1" x14ac:dyDescent="0.25">
      <c r="B948" s="4"/>
    </row>
    <row r="949" spans="2:2" ht="15.75" customHeight="1" x14ac:dyDescent="0.25">
      <c r="B949" s="4"/>
    </row>
    <row r="950" spans="2:2" ht="15.75" customHeight="1" x14ac:dyDescent="0.25">
      <c r="B950" s="4"/>
    </row>
    <row r="951" spans="2:2" ht="15.75" customHeight="1" x14ac:dyDescent="0.25">
      <c r="B951" s="4"/>
    </row>
    <row r="952" spans="2:2" ht="15.75" customHeight="1" x14ac:dyDescent="0.25">
      <c r="B952" s="4"/>
    </row>
    <row r="953" spans="2:2" ht="15.75" customHeight="1" x14ac:dyDescent="0.25">
      <c r="B953" s="4"/>
    </row>
    <row r="954" spans="2:2" ht="15.75" customHeight="1" x14ac:dyDescent="0.25">
      <c r="B954" s="4"/>
    </row>
    <row r="955" spans="2:2" ht="15.75" customHeight="1" x14ac:dyDescent="0.25">
      <c r="B955" s="4"/>
    </row>
    <row r="956" spans="2:2" ht="15.75" customHeight="1" x14ac:dyDescent="0.25">
      <c r="B956" s="4"/>
    </row>
    <row r="957" spans="2:2" ht="15.75" customHeight="1" x14ac:dyDescent="0.25">
      <c r="B957" s="4"/>
    </row>
    <row r="958" spans="2:2" ht="15.75" customHeight="1" x14ac:dyDescent="0.25">
      <c r="B958" s="4"/>
    </row>
    <row r="959" spans="2:2" ht="15.75" customHeight="1" x14ac:dyDescent="0.25">
      <c r="B959" s="4"/>
    </row>
    <row r="960" spans="2:2" ht="15.75" customHeight="1" x14ac:dyDescent="0.25">
      <c r="B960" s="4"/>
    </row>
    <row r="961" spans="2:2" ht="15.75" customHeight="1" x14ac:dyDescent="0.25">
      <c r="B961" s="4"/>
    </row>
    <row r="962" spans="2:2" ht="15.75" customHeight="1" x14ac:dyDescent="0.25">
      <c r="B962" s="4"/>
    </row>
    <row r="963" spans="2:2" ht="15.75" customHeight="1" x14ac:dyDescent="0.25">
      <c r="B963" s="4"/>
    </row>
    <row r="964" spans="2:2" ht="15.75" customHeight="1" x14ac:dyDescent="0.25">
      <c r="B964" s="4"/>
    </row>
    <row r="965" spans="2:2" ht="15.75" customHeight="1" x14ac:dyDescent="0.25">
      <c r="B965" s="4"/>
    </row>
    <row r="966" spans="2:2" ht="15.75" customHeight="1" x14ac:dyDescent="0.25">
      <c r="B966" s="4"/>
    </row>
    <row r="967" spans="2:2" ht="15.75" customHeight="1" x14ac:dyDescent="0.25">
      <c r="B967" s="4"/>
    </row>
    <row r="968" spans="2:2" ht="15.75" customHeight="1" x14ac:dyDescent="0.25">
      <c r="B968" s="4"/>
    </row>
    <row r="969" spans="2:2" ht="15.75" customHeight="1" x14ac:dyDescent="0.25">
      <c r="B969" s="4"/>
    </row>
    <row r="970" spans="2:2" ht="15.75" customHeight="1" x14ac:dyDescent="0.25">
      <c r="B970" s="4"/>
    </row>
    <row r="971" spans="2:2" ht="15.75" customHeight="1" x14ac:dyDescent="0.25">
      <c r="B971" s="4"/>
    </row>
    <row r="972" spans="2:2" ht="15.75" customHeight="1" x14ac:dyDescent="0.25">
      <c r="B972" s="4"/>
    </row>
    <row r="973" spans="2:2" ht="15.75" customHeight="1" x14ac:dyDescent="0.25">
      <c r="B973" s="4"/>
    </row>
    <row r="974" spans="2:2" ht="15.75" customHeight="1" x14ac:dyDescent="0.25">
      <c r="B974" s="4"/>
    </row>
    <row r="975" spans="2:2" ht="15.75" customHeight="1" x14ac:dyDescent="0.25">
      <c r="B975" s="4"/>
    </row>
    <row r="976" spans="2:2" ht="15.75" customHeight="1" x14ac:dyDescent="0.25">
      <c r="B976" s="4"/>
    </row>
    <row r="977" spans="2:2" ht="15.75" customHeight="1" x14ac:dyDescent="0.25">
      <c r="B977" s="4"/>
    </row>
    <row r="978" spans="2:2" ht="15.75" customHeight="1" x14ac:dyDescent="0.25">
      <c r="B978" s="4"/>
    </row>
    <row r="979" spans="2:2" ht="15.75" customHeight="1" x14ac:dyDescent="0.25">
      <c r="B979" s="4"/>
    </row>
    <row r="980" spans="2:2" ht="15.75" customHeight="1" x14ac:dyDescent="0.25">
      <c r="B980" s="4"/>
    </row>
    <row r="981" spans="2:2" ht="15.75" customHeight="1" x14ac:dyDescent="0.25">
      <c r="B981" s="4"/>
    </row>
    <row r="982" spans="2:2" ht="15.75" customHeight="1" x14ac:dyDescent="0.25">
      <c r="B982" s="4"/>
    </row>
    <row r="983" spans="2:2" ht="15.75" customHeight="1" x14ac:dyDescent="0.25">
      <c r="B983" s="4"/>
    </row>
    <row r="984" spans="2:2" ht="15.75" customHeight="1" x14ac:dyDescent="0.25">
      <c r="B984" s="4"/>
    </row>
    <row r="985" spans="2:2" ht="15.75" customHeight="1" x14ac:dyDescent="0.25">
      <c r="B985" s="4"/>
    </row>
    <row r="986" spans="2:2" ht="15.75" customHeight="1" x14ac:dyDescent="0.25">
      <c r="B986" s="4"/>
    </row>
    <row r="987" spans="2:2" ht="15.75" customHeight="1" x14ac:dyDescent="0.25">
      <c r="B987" s="4"/>
    </row>
    <row r="988" spans="2:2" ht="15.75" customHeight="1" x14ac:dyDescent="0.25">
      <c r="B988" s="4"/>
    </row>
    <row r="989" spans="2:2" ht="15.75" customHeight="1" x14ac:dyDescent="0.25">
      <c r="B989" s="4"/>
    </row>
    <row r="990" spans="2:2" ht="15.75" customHeight="1" x14ac:dyDescent="0.25">
      <c r="B990" s="4"/>
    </row>
    <row r="991" spans="2:2" ht="15.75" customHeight="1" x14ac:dyDescent="0.25">
      <c r="B991" s="4"/>
    </row>
    <row r="992" spans="2:2" ht="15.75" customHeight="1" x14ac:dyDescent="0.25">
      <c r="B992" s="4"/>
    </row>
    <row r="993" spans="2:2" ht="15.75" customHeight="1" x14ac:dyDescent="0.25">
      <c r="B993" s="4"/>
    </row>
    <row r="994" spans="2:2" ht="15.75" customHeight="1" x14ac:dyDescent="0.25">
      <c r="B994" s="4"/>
    </row>
    <row r="995" spans="2:2" ht="15.75" customHeight="1" x14ac:dyDescent="0.25">
      <c r="B995" s="4"/>
    </row>
    <row r="996" spans="2:2" ht="15.75" customHeight="1" x14ac:dyDescent="0.25">
      <c r="B996" s="4"/>
    </row>
    <row r="997" spans="2:2" ht="15.75" customHeight="1" x14ac:dyDescent="0.25">
      <c r="B997" s="4"/>
    </row>
    <row r="998" spans="2:2" ht="15.75" customHeight="1" x14ac:dyDescent="0.25">
      <c r="B998" s="4"/>
    </row>
    <row r="999" spans="2:2" ht="15.75" customHeight="1" x14ac:dyDescent="0.25">
      <c r="B999" s="4"/>
    </row>
    <row r="1000" spans="2:2" ht="15.75" customHeight="1" x14ac:dyDescent="0.25">
      <c r="B1000" s="4"/>
    </row>
  </sheetData>
  <mergeCells count="1">
    <mergeCell ref="A1:B1"/>
  </mergeCells>
  <pageMargins left="0.511811024" right="0.511811024" top="0.78740157499999996" bottom="0.78740157499999996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00"/>
  <sheetViews>
    <sheetView workbookViewId="0"/>
  </sheetViews>
  <sheetFormatPr defaultColWidth="14.42578125" defaultRowHeight="15" customHeight="1" x14ac:dyDescent="0.25"/>
  <cols>
    <col min="1" max="1" width="18.28515625" customWidth="1"/>
    <col min="2" max="2" width="8.140625" customWidth="1"/>
    <col min="3" max="3" width="17.140625" customWidth="1"/>
    <col min="4" max="4" width="6.85546875" customWidth="1"/>
    <col min="5" max="5" width="6.42578125" customWidth="1"/>
    <col min="6" max="6" width="6.85546875" customWidth="1"/>
    <col min="7" max="13" width="8.7109375" customWidth="1"/>
    <col min="14" max="14" width="13.140625" customWidth="1"/>
    <col min="15" max="15" width="8.7109375" customWidth="1"/>
    <col min="16" max="16" width="11.28515625" customWidth="1"/>
    <col min="17" max="26" width="8.7109375" customWidth="1"/>
  </cols>
  <sheetData>
    <row r="1" spans="1:18" x14ac:dyDescent="0.25">
      <c r="A1" s="5" t="s">
        <v>7</v>
      </c>
      <c r="B1" s="5" t="s">
        <v>8</v>
      </c>
      <c r="C1" s="5" t="s">
        <v>9</v>
      </c>
      <c r="D1" s="5" t="s">
        <v>10</v>
      </c>
      <c r="E1" s="5" t="s">
        <v>11</v>
      </c>
      <c r="N1" s="5" t="s">
        <v>7</v>
      </c>
      <c r="O1" s="5" t="s">
        <v>8</v>
      </c>
      <c r="P1" s="5" t="s">
        <v>9</v>
      </c>
      <c r="Q1" s="5" t="s">
        <v>10</v>
      </c>
      <c r="R1" s="5" t="s">
        <v>11</v>
      </c>
    </row>
    <row r="2" spans="1:18" x14ac:dyDescent="0.25">
      <c r="A2" s="5" t="s">
        <v>12</v>
      </c>
      <c r="B2" s="6">
        <f>('Ver-Iniciação1'!$G$5/SUM('Ver-Iniciação1'!$G$5:'Ver-Iniciação1'!$J$5))</f>
        <v>0</v>
      </c>
      <c r="C2" s="6">
        <f>('Ver-Iniciação1'!$H$5/SUM('Ver-Iniciação1'!$G$5:'Ver-Iniciação1'!$J$5))</f>
        <v>0</v>
      </c>
      <c r="D2" s="6">
        <f>('Ver-Iniciação1'!$I$5/SUM('Ver-Iniciação1'!$G$5:'Ver-Iniciação1'!$J$5))</f>
        <v>1</v>
      </c>
      <c r="E2" s="6">
        <f>('Ver-Iniciação1'!$J$5/SUM('Ver-Iniciação1'!$G$5:'Ver-Iniciação1'!$J$5))</f>
        <v>0</v>
      </c>
      <c r="N2" s="5" t="s">
        <v>13</v>
      </c>
      <c r="O2" s="6">
        <f>('Ver-Elaboração1'!$G$6/SUM('Ver-Elaboração1'!$G$6:'Ver-Elaboração1'!$J$6))</f>
        <v>0</v>
      </c>
      <c r="P2" s="6">
        <f>('Ver-Elaboração1'!$H$6/SUM('Ver-Elaboração1'!$G$6:'Ver-Elaboração1'!$J$6))</f>
        <v>0</v>
      </c>
      <c r="Q2" s="6">
        <f>('Ver-Elaboração1'!$I$6/SUM('Ver-Elaboração1'!$G$6:'Ver-Elaboração1'!$J$6))</f>
        <v>0</v>
      </c>
      <c r="R2" s="6">
        <f>('Ver-Elaboração1'!$J$6/SUM('Ver-Elaboração1'!$G$6:'Ver-Elaboração1'!$J$6))</f>
        <v>1</v>
      </c>
    </row>
    <row r="3" spans="1:18" x14ac:dyDescent="0.25">
      <c r="A3" s="5" t="s">
        <v>13</v>
      </c>
      <c r="B3" s="6">
        <f>('Ver-Iniciação1'!$G$7/SUM('Ver-Iniciação1'!$G$7:'Ver-Iniciação1'!$J$7))</f>
        <v>0.8</v>
      </c>
      <c r="C3" s="6">
        <f>('Ver-Iniciação1'!$H$7/SUM('Ver-Iniciação1'!$G$7:'Ver-Iniciação1'!$J$7))</f>
        <v>0.2</v>
      </c>
      <c r="D3" s="6">
        <f>('Ver-Iniciação1'!$I$7/SUM('Ver-Iniciação1'!$G$7:'Ver-Iniciação1'!$J$7))</f>
        <v>0</v>
      </c>
      <c r="E3" s="6">
        <f>('Ver-Iniciação1'!$J$7/SUM('Ver-Iniciação1'!$G$7:'Ver-Iniciação1'!$J$7))</f>
        <v>0</v>
      </c>
      <c r="N3" s="5" t="s">
        <v>14</v>
      </c>
      <c r="O3" s="6">
        <f>('Ver-Elaboração1'!$G$8/SUM('Ver-Elaboração1'!$G$8:'Ver-Elaboração1'!$J$8))</f>
        <v>1</v>
      </c>
      <c r="P3" s="6">
        <f>('Ver-Elaboração1'!$H$8/SUM('Ver-Elaboração1'!$G$8:'Ver-Elaboração1'!$J$8))</f>
        <v>0</v>
      </c>
      <c r="Q3" s="6">
        <f>('Ver-Elaboração1'!$I$8/SUM('Ver-Elaboração1'!$G$8:'Ver-Elaboração1'!$J$8))</f>
        <v>0</v>
      </c>
      <c r="R3" s="6">
        <f>('Ver-Elaboração1'!$J$8/SUM('Ver-Elaboração1'!$G$8:'Ver-Elaboração1'!$J$8))</f>
        <v>0</v>
      </c>
    </row>
    <row r="4" spans="1:18" x14ac:dyDescent="0.25">
      <c r="A4" s="5" t="s">
        <v>14</v>
      </c>
      <c r="B4" s="6">
        <f>('Ver-Iniciação1'!$G$13/SUM('Ver-Iniciação1'!$G$13:'Ver-Iniciação1'!$J$13))</f>
        <v>0.6</v>
      </c>
      <c r="C4" s="6">
        <f>('Ver-Iniciação1'!$H$13/SUM('Ver-Iniciação1'!$G$13:'Ver-Iniciação1'!$J$13))</f>
        <v>0.2</v>
      </c>
      <c r="D4" s="6">
        <f>('Ver-Iniciação1'!$I$13/SUM('Ver-Iniciação1'!$G$13:'Ver-Iniciação1'!$J$13))</f>
        <v>0</v>
      </c>
      <c r="E4" s="6">
        <f>('Ver-Iniciação1'!$J$13/SUM('Ver-Iniciação1'!$G$13:'Ver-Iniciação1'!$J$13))</f>
        <v>0.2</v>
      </c>
      <c r="N4" s="5" t="s">
        <v>15</v>
      </c>
      <c r="O4" s="6">
        <f>('Ver-Elaboração1'!$G$11/SUM('Ver-Elaboração1'!$G$11:'Ver-Elaboração1'!$J$11))</f>
        <v>0.75</v>
      </c>
      <c r="P4" s="6">
        <f>('Ver-Elaboração1'!$H$11/SUM('Ver-Elaboração1'!$G$11:'Ver-Elaboração1'!$J$11))</f>
        <v>0</v>
      </c>
      <c r="Q4" s="6">
        <f>('Ver-Elaboração1'!$I$11/SUM('Ver-Elaboração1'!$G$11:'Ver-Elaboração1'!$J$11))</f>
        <v>0</v>
      </c>
      <c r="R4" s="6">
        <f>('Ver-Elaboração1'!$J$11/SUM('Ver-Elaboração1'!$G$11:'Ver-Elaboração1'!$J$11))</f>
        <v>0.25</v>
      </c>
    </row>
    <row r="5" spans="1:18" x14ac:dyDescent="0.25">
      <c r="A5" s="5" t="s">
        <v>15</v>
      </c>
      <c r="B5" s="6">
        <f>('Ver-Iniciação1'!$G$19/SUM('Ver-Iniciação1'!$G$19:'Ver-Iniciação1'!$J$19))</f>
        <v>0</v>
      </c>
      <c r="C5" s="6">
        <f>('Ver-Iniciação1'!$H$19/SUM('Ver-Iniciação1'!$G$19:'Ver-Iniciação1'!$J$19))</f>
        <v>0</v>
      </c>
      <c r="D5" s="6">
        <f>('Ver-Iniciação1'!$I$19/SUM('Ver-Iniciação1'!$G$19:'Ver-Iniciação1'!$J$19))</f>
        <v>0</v>
      </c>
      <c r="E5" s="6">
        <f>('Ver-Iniciação1'!$J$19/SUM('Ver-Iniciação1'!$G$19:'Ver-Iniciação1'!$J$19))</f>
        <v>1</v>
      </c>
      <c r="N5" s="5" t="s">
        <v>16</v>
      </c>
      <c r="O5" s="6">
        <f>('Ver-Elaboração1'!$G$16/SUM('Ver-Elaboração1'!$G$16:'Ver-Elaboração1'!$J$16))</f>
        <v>0</v>
      </c>
      <c r="P5" s="6">
        <f>('Ver-Elaboração1'!$H$16/SUM('Ver-Elaboração1'!$G$16:'Ver-Elaboração1'!$J$16))</f>
        <v>0</v>
      </c>
      <c r="Q5" s="6">
        <f>('Ver-Elaboração1'!$I$16/SUM('Ver-Elaboração1'!$G$16:'Ver-Elaboração1'!$J$16))</f>
        <v>0</v>
      </c>
      <c r="R5" s="6">
        <f>('Ver-Elaboração1'!$J$16/SUM('Ver-Elaboração1'!$G$16:'Ver-Elaboração1'!$J$16))</f>
        <v>1</v>
      </c>
    </row>
    <row r="6" spans="1:18" x14ac:dyDescent="0.25">
      <c r="A6" s="5" t="s">
        <v>16</v>
      </c>
      <c r="B6" s="6">
        <f>('Ver-Iniciação1'!$G$22/SUM('Ver-Iniciação1'!$G$22:'Ver-Iniciação1'!$J$22))</f>
        <v>0</v>
      </c>
      <c r="C6" s="6">
        <f>('Ver-Iniciação1'!$H$22/SUM('Ver-Iniciação1'!$G$22:'Ver-Iniciação1'!$J$22))</f>
        <v>0</v>
      </c>
      <c r="D6" s="6">
        <f>('Ver-Iniciação1'!$I$22/SUM('Ver-Iniciação1'!$G$22:'Ver-Iniciação1'!$J$22))</f>
        <v>0</v>
      </c>
      <c r="E6" s="6">
        <f>('Ver-Iniciação1'!$J$22/SUM('Ver-Iniciação1'!$G$22:'Ver-Iniciação1'!$J$22))</f>
        <v>1</v>
      </c>
      <c r="N6" s="5" t="s">
        <v>17</v>
      </c>
      <c r="O6" s="6" t="e">
        <f>('Ver-Elaboração1'!#REF!/SUM('Ver-Elaboração1'!#REF!:'Ver-Elaboração1'!#REF!))</f>
        <v>#REF!</v>
      </c>
      <c r="P6" s="6" t="e">
        <f>('Ver-Elaboração1'!#REF!/SUM('Ver-Elaboração1'!#REF!:'Ver-Elaboração1'!#REF!))</f>
        <v>#REF!</v>
      </c>
      <c r="Q6" s="6" t="e">
        <f>('Ver-Elaboração1'!#REF!/SUM('Ver-Elaboração1'!#REF!:'Ver-Elaboração1'!#REF!))</f>
        <v>#REF!</v>
      </c>
      <c r="R6" s="6" t="e">
        <f>('Ver-Elaboração1'!#REF!/SUM('Ver-Elaboração1'!#REF!:'Ver-Elaboração1'!#REF!))</f>
        <v>#REF!</v>
      </c>
    </row>
    <row r="7" spans="1:18" x14ac:dyDescent="0.25">
      <c r="A7" s="5" t="s">
        <v>17</v>
      </c>
      <c r="B7" s="6">
        <f>('Ver-Iniciação1'!$G$25/SUM('Ver-Iniciação1'!$G$25:'Ver-Iniciação1'!$J$25))</f>
        <v>0</v>
      </c>
      <c r="C7" s="6">
        <f>('Ver-Iniciação1'!$H$25/SUM('Ver-Iniciação1'!$G$25:'Ver-Iniciação1'!$J$25))</f>
        <v>0</v>
      </c>
      <c r="D7" s="6">
        <f>('Ver-Iniciação1'!$I$25/SUM('Ver-Iniciação1'!$G$25:'Ver-Iniciação1'!$J$25))</f>
        <v>0</v>
      </c>
      <c r="E7" s="6">
        <f>('Ver-Iniciação1'!$J$25/SUM('Ver-Iniciação1'!$G$25:'Ver-Iniciação1'!$J$25))</f>
        <v>1</v>
      </c>
      <c r="N7" s="5" t="s">
        <v>18</v>
      </c>
      <c r="O7" s="6">
        <f>('Ver-Elaboração1'!$G$18/SUM('Ver-Elaboração1'!$G$18:'Ver-Elaboração1'!$J$18))</f>
        <v>0.5</v>
      </c>
      <c r="P7" s="6">
        <f>('Ver-Elaboração1'!$H$18/SUM('Ver-Elaboração1'!$G$18:'Ver-Elaboração1'!$J$18))</f>
        <v>0.25</v>
      </c>
      <c r="Q7" s="6">
        <f>('Ver-Elaboração1'!$I$18/SUM('Ver-Elaboração1'!$G$18:'Ver-Elaboração1'!$J$18))</f>
        <v>0.25</v>
      </c>
      <c r="R7" s="6">
        <f>('Ver-Elaboração1'!$J$18/SUM('Ver-Elaboração1'!$G$18:'Ver-Elaboração1'!$J$18))</f>
        <v>0</v>
      </c>
    </row>
    <row r="8" spans="1:18" x14ac:dyDescent="0.25">
      <c r="A8" s="5" t="s">
        <v>19</v>
      </c>
      <c r="B8" s="6" t="e">
        <f>('Ver-Iniciação1'!#REF!/SUM('Ver-Iniciação1'!#REF!:'Ver-Iniciação1'!#REF!))</f>
        <v>#REF!</v>
      </c>
      <c r="C8" s="6" t="e">
        <f>('Ver-Iniciação1'!#REF!/SUM('Ver-Iniciação1'!#REF!:'Ver-Iniciação1'!#REF!))</f>
        <v>#REF!</v>
      </c>
      <c r="D8" s="6" t="e">
        <f>('Ver-Iniciação1'!#REF!/SUM('Ver-Iniciação1'!#REF!:'Ver-Iniciação1'!#REF!))</f>
        <v>#REF!</v>
      </c>
      <c r="E8" s="6" t="e">
        <f>('Ver-Iniciação1'!#REF!/SUM('Ver-Iniciação1'!#REF!:'Ver-Iniciação1'!#REF!))</f>
        <v>#REF!</v>
      </c>
      <c r="N8" s="5" t="s">
        <v>20</v>
      </c>
      <c r="O8" s="6" t="e">
        <f>('Ver-Elaboração1'!#REF!/SUM('Ver-Elaboração1'!#REF!:'Ver-Elaboração1'!#REF!))</f>
        <v>#REF!</v>
      </c>
      <c r="P8" s="6" t="e">
        <f>('Ver-Elaboração1'!#REF!/SUM('Ver-Elaboração1'!#REF!:'Ver-Elaboração1'!#REF!))</f>
        <v>#REF!</v>
      </c>
      <c r="Q8" s="6" t="e">
        <f>('Ver-Elaboração1'!#REF!/SUM('Ver-Elaboração1'!#REF!:'Ver-Elaboração1'!#REF!))</f>
        <v>#REF!</v>
      </c>
      <c r="R8" s="6" t="e">
        <f>('Ver-Elaboração1'!#REF!/SUM('Ver-Elaboração1'!#REF!:'Ver-Elaboração1'!#REF!))</f>
        <v>#REF!</v>
      </c>
    </row>
    <row r="9" spans="1:18" x14ac:dyDescent="0.25">
      <c r="A9" s="5" t="s">
        <v>21</v>
      </c>
      <c r="B9" s="6" t="e">
        <f>('Ver-Iniciação1'!#REF!/SUM('Ver-Iniciação1'!#REF!:'Ver-Iniciação1'!#REF!))</f>
        <v>#REF!</v>
      </c>
      <c r="C9" s="6" t="e">
        <f>('Ver-Iniciação1'!#REF!/SUM('Ver-Iniciação1'!#REF!:'Ver-Iniciação1'!#REF!))</f>
        <v>#REF!</v>
      </c>
      <c r="D9" s="6" t="e">
        <f>('Ver-Iniciação1'!#REF!/SUM('Ver-Iniciação1'!#REF!:'Ver-Iniciação1'!#REF!))</f>
        <v>#REF!</v>
      </c>
      <c r="E9" s="6" t="e">
        <f>('Ver-Iniciação1'!#REF!/SUM('Ver-Iniciação1'!#REF!:'Ver-Iniciação1'!#REF!))</f>
        <v>#REF!</v>
      </c>
      <c r="N9" s="5" t="s">
        <v>22</v>
      </c>
      <c r="O9" s="6">
        <f>('Ver-Elaboração1'!$G$23/SUM('Ver-Elaboração1'!$G$23:'Ver-Elaboração1'!$J$23))</f>
        <v>1</v>
      </c>
      <c r="P9" s="6">
        <f>('Ver-Elaboração1'!$H$23/SUM('Ver-Elaboração1'!$G$23:'Ver-Elaboração1'!$J$23))</f>
        <v>0</v>
      </c>
      <c r="Q9" s="6">
        <f>('Ver-Elaboração1'!$I$23/SUM('Ver-Elaboração1'!$G$23:'Ver-Elaboração1'!$J$23))</f>
        <v>0</v>
      </c>
      <c r="R9" s="6">
        <f>('Ver-Elaboração1'!$J$23/SUM('Ver-Elaboração1'!$G$23:'Ver-Elaboração1'!$J$23))</f>
        <v>0</v>
      </c>
    </row>
    <row r="10" spans="1:18" x14ac:dyDescent="0.25">
      <c r="A10" s="5" t="s">
        <v>23</v>
      </c>
      <c r="B10" s="6">
        <f>('Ver-Iniciação1'!$G$28/SUM('Ver-Iniciação1'!$G$28:'Ver-Iniciação1'!$J$28))</f>
        <v>0.875</v>
      </c>
      <c r="C10" s="6">
        <f>('Ver-Iniciação1'!$H$28/SUM('Ver-Iniciação1'!$G$28:'Ver-Iniciação1'!$J$28))</f>
        <v>0.125</v>
      </c>
      <c r="D10" s="6">
        <f>('Ver-Iniciação1'!$I$28/SUM('Ver-Iniciação1'!$G$28:'Ver-Iniciação1'!$J$28))</f>
        <v>0</v>
      </c>
      <c r="E10" s="6">
        <f>('Ver-Iniciação1'!$J$28/SUM('Ver-Iniciação1'!$G$28:'Ver-Iniciação1'!$J$28))</f>
        <v>0</v>
      </c>
      <c r="N10" s="5" t="s">
        <v>23</v>
      </c>
      <c r="O10" s="6">
        <f>('Ver-Elaboração1'!$G$29/SUM('Ver-Elaboração1'!$G$29:'Ver-Elaboração1'!$J$29))</f>
        <v>0.5</v>
      </c>
      <c r="P10" s="6">
        <f>('Ver-Elaboração1'!$H$29/SUM('Ver-Elaboração1'!$G$29:'Ver-Elaboração1'!$J$29))</f>
        <v>0</v>
      </c>
      <c r="Q10" s="6">
        <f>('Ver-Elaboração1'!$I$29/SUM('Ver-Elaboração1'!$G$29:'Ver-Elaboração1'!$J$29))</f>
        <v>0</v>
      </c>
      <c r="R10" s="6">
        <f>('Ver-Elaboração1'!$J$29/SUM('Ver-Elaboração1'!$G$29:'Ver-Elaboração1'!$J$29))</f>
        <v>0.5</v>
      </c>
    </row>
    <row r="11" spans="1:18" x14ac:dyDescent="0.25">
      <c r="A11" s="5" t="s">
        <v>24</v>
      </c>
      <c r="B11" s="6">
        <f>('Ver-Iniciação1'!$G$37/SUM('Ver-Iniciação1'!$G$37:'Ver-Iniciação1'!$J$37))</f>
        <v>0.75</v>
      </c>
      <c r="C11" s="6">
        <f>('Ver-Iniciação1'!$H$37/SUM('Ver-Iniciação1'!$G$37:'Ver-Iniciação1'!$J$37))</f>
        <v>0.25</v>
      </c>
      <c r="D11" s="6">
        <f>('Ver-Iniciação1'!$I$37/SUM('Ver-Iniciação1'!$G$37:'Ver-Iniciação1'!$J$37))</f>
        <v>0</v>
      </c>
      <c r="E11" s="6">
        <f>('Ver-Iniciação1'!$J$37/SUM('Ver-Iniciação1'!$G$37:'Ver-Iniciação1'!$J$37))</f>
        <v>0</v>
      </c>
      <c r="N11" s="5" t="s">
        <v>24</v>
      </c>
      <c r="O11" s="6">
        <f>('Ver-Elaboração1'!$G$36/SUM('Ver-Elaboração1'!$G$36:'Ver-Elaboração1'!$J$36))</f>
        <v>0.66666666666666663</v>
      </c>
      <c r="P11" s="6">
        <f>('Ver-Elaboração1'!$H$36/SUM('Ver-Elaboração1'!$G$36:'Ver-Elaboração1'!$J$36))</f>
        <v>0.33333333333333331</v>
      </c>
      <c r="Q11" s="6">
        <f>('Ver-Elaboração1'!$I$36/SUM('Ver-Elaboração1'!$G$36:'Ver-Elaboração1'!$J$36))</f>
        <v>0</v>
      </c>
      <c r="R11" s="6">
        <f>('Ver-Elaboração1'!$J$36/SUM('Ver-Elaboração1'!$G$36:'Ver-Elaboração1'!$J$36))</f>
        <v>0</v>
      </c>
    </row>
    <row r="12" spans="1:18" x14ac:dyDescent="0.25">
      <c r="A12" s="5" t="s">
        <v>25</v>
      </c>
      <c r="B12" s="6" t="e">
        <f>('Ver-Iniciação1'!#REF!/SUM('Ver-Iniciação1'!#REF!:'Ver-Iniciação1'!#REF!))</f>
        <v>#REF!</v>
      </c>
      <c r="C12" s="6" t="e">
        <f>('Ver-Iniciação1'!#REF!/SUM('Ver-Iniciação1'!#REF!:'Ver-Iniciação1'!#REF!))</f>
        <v>#REF!</v>
      </c>
      <c r="D12" s="6" t="e">
        <f>('Ver-Iniciação1'!#REF!/SUM('Ver-Iniciação1'!#REF!:'Ver-Iniciação1'!#REF!))</f>
        <v>#REF!</v>
      </c>
      <c r="E12" s="6" t="e">
        <f>('Ver-Iniciação1'!#REF!/SUM('Ver-Iniciação1'!#REF!:'Ver-Iniciação1'!#REF!))</f>
        <v>#REF!</v>
      </c>
      <c r="N12" s="5" t="s">
        <v>25</v>
      </c>
      <c r="O12" s="6">
        <f>('Ver-Elaboração1'!$G$40/SUM('Ver-Elaboração1'!$G$40:'Ver-Elaboração1'!$J$40))</f>
        <v>0</v>
      </c>
      <c r="P12" s="6">
        <f>('Ver-Elaboração1'!$H$40/SUM('Ver-Elaboração1'!$G$40:'Ver-Elaboração1'!$J$40))</f>
        <v>0</v>
      </c>
      <c r="Q12" s="6">
        <f>('Ver-Elaboração1'!$I$40/SUM('Ver-Elaboração1'!$G$40:'Ver-Elaboração1'!$J$40))</f>
        <v>0</v>
      </c>
      <c r="R12" s="6">
        <f>('Ver-Elaboração1'!$J$40/SUM('Ver-Elaboração1'!$G$40:'Ver-Elaboração1'!$J$40))</f>
        <v>1</v>
      </c>
    </row>
    <row r="21" spans="1:17" ht="15.75" customHeight="1" x14ac:dyDescent="0.25"/>
    <row r="22" spans="1:17" ht="15.75" customHeight="1" x14ac:dyDescent="0.25">
      <c r="A22" s="5" t="s">
        <v>7</v>
      </c>
      <c r="B22" s="5" t="s">
        <v>8</v>
      </c>
      <c r="C22" s="5" t="s">
        <v>9</v>
      </c>
      <c r="D22" s="5" t="s">
        <v>10</v>
      </c>
      <c r="E22" s="5" t="s">
        <v>11</v>
      </c>
    </row>
    <row r="23" spans="1:17" ht="15.75" customHeight="1" x14ac:dyDescent="0.25">
      <c r="A23" s="5" t="s">
        <v>13</v>
      </c>
      <c r="B23" s="6">
        <f>('Ver-Construção1'!$G$6/SUM('Ver-Construção1'!$G$6:'Ver-Construção1'!$J$6))</f>
        <v>0</v>
      </c>
      <c r="C23" s="7">
        <f>('Ver-Construção1'!$H$6/SUM('Ver-Construção1'!$G$6:'Ver-Construção1'!$J$6))</f>
        <v>0</v>
      </c>
      <c r="D23" s="7">
        <f>('Ver-Construção1'!$I$6/SUM('Ver-Construção1'!$G$6:'Ver-Construção1'!$J$6))</f>
        <v>0</v>
      </c>
      <c r="E23" s="7">
        <f>('Ver-Construção1'!$J$6/SUM('Ver-Construção1'!$G$6:'Ver-Construção1'!$J$6))</f>
        <v>1</v>
      </c>
    </row>
    <row r="24" spans="1:17" ht="15.75" customHeight="1" x14ac:dyDescent="0.25">
      <c r="A24" s="5" t="s">
        <v>14</v>
      </c>
      <c r="B24" s="6">
        <f>('Ver-Construção1'!$G$8/SUM('Ver-Construção1'!$G$8:'Ver-Construção1'!$J$8))</f>
        <v>1</v>
      </c>
      <c r="C24" s="7">
        <f>('Ver-Construção1'!$H$8/SUM('Ver-Construção1'!$G$8:'Ver-Construção1'!$J$8))</f>
        <v>0</v>
      </c>
      <c r="D24" s="7">
        <f>('Ver-Construção1'!$I$8/SUM('Ver-Construção1'!$G$8:'Ver-Construção1'!$J$8))</f>
        <v>0</v>
      </c>
      <c r="E24" s="7">
        <f>('Ver-Construção1'!$J$8/SUM('Ver-Construção1'!$G$8:'Ver-Construção1'!$J$8))</f>
        <v>0</v>
      </c>
      <c r="M24" s="5" t="s">
        <v>7</v>
      </c>
      <c r="N24" s="5" t="s">
        <v>8</v>
      </c>
      <c r="O24" s="5" t="s">
        <v>9</v>
      </c>
      <c r="P24" s="5" t="s">
        <v>10</v>
      </c>
      <c r="Q24" s="5" t="s">
        <v>11</v>
      </c>
    </row>
    <row r="25" spans="1:17" ht="15.75" customHeight="1" x14ac:dyDescent="0.25">
      <c r="A25" s="5" t="s">
        <v>15</v>
      </c>
      <c r="B25" s="6">
        <f>('Ver-Construção1'!$G$10/SUM('Ver-Construção1'!$G$10:'Ver-Construção1'!$J$10))</f>
        <v>0.66666666666666663</v>
      </c>
      <c r="C25" s="7">
        <f>('Ver-Construção1'!$G$10/SUM('Ver-Construção1'!$G$10:'Ver-Construção1'!$J$10))</f>
        <v>0.66666666666666663</v>
      </c>
      <c r="D25" s="7">
        <f>('Ver-Construção1'!$I$10/SUM('Ver-Construção1'!$G$10:'Ver-Construção1'!$J$10))</f>
        <v>0</v>
      </c>
      <c r="E25" s="7">
        <f>('Ver-Construção1'!$J$10/SUM('Ver-Construção1'!$G$10:'Ver-Construção1'!$J$10))</f>
        <v>0.33333333333333331</v>
      </c>
      <c r="M25" s="5" t="s">
        <v>13</v>
      </c>
      <c r="N25" s="7">
        <f>('Ver-Transição1'!$G$6/SUM('Ver-Transição1'!$G$6:'Ver-Transição1'!$J$6))</f>
        <v>0</v>
      </c>
      <c r="O25" s="7">
        <f>('Ver-Transição1'!$H$6/SUM('Ver-Transição1'!$G$6:'Ver-Transição1'!$J$6))</f>
        <v>0</v>
      </c>
      <c r="P25" s="7">
        <f>('Ver-Transição1'!$I$6/SUM('Ver-Transição1'!$G$6:'Ver-Transição1'!$J$6))</f>
        <v>0</v>
      </c>
      <c r="Q25" s="7">
        <f>('Ver-Transição1'!$J$6/SUM('Ver-Transição1'!$G$6:'Ver-Transição1'!$J$6))</f>
        <v>1</v>
      </c>
    </row>
    <row r="26" spans="1:17" ht="15.75" customHeight="1" x14ac:dyDescent="0.25">
      <c r="A26" s="5" t="s">
        <v>16</v>
      </c>
      <c r="B26" s="7">
        <f>('Ver-Construção1'!$G$14/SUM('Ver-Construção1'!$G$14:'Ver-Construção1'!$J$14))</f>
        <v>0</v>
      </c>
      <c r="C26" s="7">
        <f>('Ver-Construção1'!$H$14/SUM('Ver-Construção1'!$G$14:'Ver-Construção1'!$J$14))</f>
        <v>0</v>
      </c>
      <c r="D26" s="7">
        <f>('Ver-Construção1'!$I$14/SUM('Ver-Construção1'!$G$14:'Ver-Construção1'!$J$14))</f>
        <v>0</v>
      </c>
      <c r="E26" s="7">
        <f>('Ver-Construção1'!$J$14/SUM('Ver-Construção1'!$G$14:'Ver-Construção1'!$J$14))</f>
        <v>1</v>
      </c>
      <c r="M26" s="5" t="s">
        <v>14</v>
      </c>
      <c r="N26" s="7">
        <f>('Ver-Transição1'!$G$8/SUM('Ver-Transição1'!$G$8:'Ver-Transição1'!$J$8))</f>
        <v>0</v>
      </c>
      <c r="O26" s="7">
        <f>('Ver-Transição1'!$H$8/SUM('Ver-Transição1'!$G$8:'Ver-Transição1'!$J$8))</f>
        <v>0</v>
      </c>
      <c r="P26" s="7">
        <f>('Ver-Transição1'!$I$8/SUM('Ver-Transição1'!$G$8:'Ver-Transição1'!$J$8))</f>
        <v>0</v>
      </c>
      <c r="Q26" s="7">
        <f>('Ver-Transição1'!$J$8/SUM('Ver-Transição1'!$G$8:'Ver-Transição1'!$J$8))</f>
        <v>1</v>
      </c>
    </row>
    <row r="27" spans="1:17" ht="15.75" customHeight="1" x14ac:dyDescent="0.25">
      <c r="A27" s="5" t="s">
        <v>17</v>
      </c>
      <c r="B27" s="7" t="e">
        <f>('Ver-Construção1'!#REF!/SUM('Ver-Construção1'!#REF!:'Ver-Construção1'!#REF!))</f>
        <v>#REF!</v>
      </c>
      <c r="C27" s="7" t="e">
        <f>('Ver-Construção1'!#REF!/SUM('Ver-Construção1'!#REF!:'Ver-Construção1'!#REF!))</f>
        <v>#REF!</v>
      </c>
      <c r="D27" s="7" t="e">
        <f>('Ver-Construção1'!#REF!/SUM('Ver-Construção1'!#REF!:'Ver-Construção1'!#REF!))</f>
        <v>#REF!</v>
      </c>
      <c r="E27" s="7" t="e">
        <f>('Ver-Construção1'!#REF!/SUM('Ver-Construção1'!#REF!:'Ver-Construção1'!#REF!))</f>
        <v>#REF!</v>
      </c>
      <c r="M27" s="5" t="s">
        <v>15</v>
      </c>
      <c r="N27" s="7">
        <f>('Ver-Transição1'!$G$10/SUM('Ver-Transição1'!$G$10:'Ver-Transição1'!$J$10))</f>
        <v>0</v>
      </c>
      <c r="O27" s="7">
        <f>('Ver-Transição1'!$H$10/SUM('Ver-Transição1'!$G$10:'Ver-Transição1'!$J$10))</f>
        <v>0</v>
      </c>
      <c r="P27" s="7">
        <f>('Ver-Transição1'!$I$10/SUM('Ver-Transição1'!$G$10:'Ver-Transição1'!$J$10))</f>
        <v>0</v>
      </c>
      <c r="Q27" s="7">
        <f>('Ver-Transição1'!$J$10/SUM('Ver-Transição1'!$G$10:'Ver-Transição1'!$J$10))</f>
        <v>1</v>
      </c>
    </row>
    <row r="28" spans="1:17" ht="15.75" customHeight="1" x14ac:dyDescent="0.25">
      <c r="A28" s="5" t="s">
        <v>18</v>
      </c>
      <c r="B28" s="7">
        <f>('Ver-Construção1'!$G$16/SUM('Ver-Construção1'!$G$16:'Ver-Construção1'!$J$16))</f>
        <v>0</v>
      </c>
      <c r="C28" s="7">
        <f>('Ver-Construção1'!$H$16/SUM('Ver-Construção1'!$G$16:'Ver-Construção1'!$J$16))</f>
        <v>0</v>
      </c>
      <c r="D28" s="7">
        <f>('Ver-Construção1'!$I$16/SUM('Ver-Construção1'!$G$16:'Ver-Construção1'!$J$16))</f>
        <v>0</v>
      </c>
      <c r="E28" s="7">
        <f>('Ver-Construção1'!$J$16/SUM('Ver-Construção1'!$G$16:'Ver-Construção1'!$J$16))</f>
        <v>1</v>
      </c>
      <c r="M28" s="5" t="s">
        <v>16</v>
      </c>
      <c r="N28" s="7">
        <f>('Ver-Transição1'!$G$14/SUM('Ver-Transição1'!$G$14:'Ver-Transição1'!$J$14))</f>
        <v>0</v>
      </c>
      <c r="O28" s="7">
        <f>('Ver-Transição1'!$H$14/SUM('Ver-Transição1'!$G$14:'Ver-Transição1'!$J$14))</f>
        <v>0</v>
      </c>
      <c r="P28" s="7">
        <f>('Ver-Transição1'!$I$14/SUM('Ver-Transição1'!$G$14:'Ver-Transição1'!$J$14))</f>
        <v>0</v>
      </c>
      <c r="Q28" s="7">
        <f>('Ver-Transição1'!$J$14/SUM('Ver-Transição1'!$G$14:'Ver-Transição1'!$J$14))</f>
        <v>1</v>
      </c>
    </row>
    <row r="29" spans="1:17" ht="15.75" customHeight="1" x14ac:dyDescent="0.25">
      <c r="A29" s="5" t="s">
        <v>20</v>
      </c>
      <c r="B29" s="7" t="e">
        <f>('Ver-Construção1'!#REF!/SUM('Ver-Construção1'!#REF!:'Ver-Construção1'!#REF!))</f>
        <v>#REF!</v>
      </c>
      <c r="C29" s="7" t="e">
        <f>('Ver-Construção1'!#REF!/SUM('Ver-Construção1'!#REF!:'Ver-Construção1'!#REF!))</f>
        <v>#REF!</v>
      </c>
      <c r="D29" s="7" t="e">
        <f>('Ver-Construção1'!#REF!/SUM('Ver-Construção1'!#REF!:'Ver-Construção1'!#REF!))</f>
        <v>#REF!</v>
      </c>
      <c r="E29" s="7" t="e">
        <f>('Ver-Construção1'!#REF!/SUM('Ver-Construção1'!#REF!:'Ver-Construção1'!#REF!))</f>
        <v>#REF!</v>
      </c>
      <c r="M29" s="5" t="s">
        <v>17</v>
      </c>
      <c r="N29" s="7" t="e">
        <f>('Ver-Transição1'!#REF!/SUM('Ver-Transição1'!#REF!:'Ver-Transição1'!#REF!))</f>
        <v>#REF!</v>
      </c>
      <c r="O29" s="7" t="e">
        <f>('Ver-Transição1'!#REF!/SUM('Ver-Transição1'!#REF!:'Ver-Transição1'!#REF!))</f>
        <v>#REF!</v>
      </c>
      <c r="P29" s="7" t="e">
        <f>('Ver-Transição1'!#REF!/SUM('Ver-Transição1'!#REF!:'Ver-Transição1'!#REF!))</f>
        <v>#REF!</v>
      </c>
      <c r="Q29" s="7" t="e">
        <f>('Ver-Transição1'!#REF!/SUM('Ver-Transição1'!#REF!:'Ver-Transição1'!#REF!))</f>
        <v>#REF!</v>
      </c>
    </row>
    <row r="30" spans="1:17" ht="15.75" customHeight="1" x14ac:dyDescent="0.25">
      <c r="A30" s="5" t="s">
        <v>22</v>
      </c>
      <c r="B30" s="7">
        <f>('Ver-Construção1'!$G$18/SUM('Ver-Construção1'!$G$18:'Ver-Construção1'!$J$18))</f>
        <v>0.8</v>
      </c>
      <c r="C30" s="7">
        <f>('Ver-Construção1'!$H$18/SUM('Ver-Construção1'!$G$18:'Ver-Construção1'!$J$18))</f>
        <v>0</v>
      </c>
      <c r="D30" s="7">
        <f>('Ver-Construção1'!$I$18/SUM('Ver-Construção1'!$G$18:'Ver-Construção1'!$J$18))</f>
        <v>0.2</v>
      </c>
      <c r="E30" s="7">
        <f>('Ver-Construção1'!$J$18/SUM('Ver-Construção1'!$G$18:'Ver-Construção1'!$J$18))</f>
        <v>0</v>
      </c>
      <c r="M30" s="5" t="s">
        <v>18</v>
      </c>
      <c r="N30" s="7">
        <f>('Ver-Transição1'!$G$16/SUM('Ver-Transição1'!$G$16:'Ver-Transição1'!$J$16))</f>
        <v>1</v>
      </c>
      <c r="O30" s="7">
        <f>('Ver-Transição1'!$H$16/SUM('Ver-Transição1'!$G$16:'Ver-Transição1'!$J$16))</f>
        <v>0</v>
      </c>
      <c r="P30" s="7">
        <f>('Ver-Transição1'!$I$16/SUM('Ver-Transição1'!$G$16:'Ver-Transição1'!$J$16))</f>
        <v>0</v>
      </c>
      <c r="Q30" s="7">
        <f>('Ver-Transição1'!$J$16/SUM('Ver-Transição1'!$G$16:'Ver-Transição1'!$J$16))</f>
        <v>0</v>
      </c>
    </row>
    <row r="31" spans="1:17" ht="15.75" customHeight="1" x14ac:dyDescent="0.25">
      <c r="A31" s="5" t="s">
        <v>26</v>
      </c>
      <c r="B31" s="7">
        <f>('Ver-Construção1'!$G$24/SUM('Ver-Construção1'!$G$24:'Ver-Construção1'!$J$24))</f>
        <v>0.8</v>
      </c>
      <c r="C31" s="7">
        <f>('Ver-Construção1'!$H$24/SUM('Ver-Construção1'!$G$24:'Ver-Construção1'!$J$24))</f>
        <v>0</v>
      </c>
      <c r="D31" s="7">
        <f>('Ver-Construção1'!$I$24/SUM('Ver-Construção1'!$G$24:'Ver-Construção1'!$J$24))</f>
        <v>0.2</v>
      </c>
      <c r="E31" s="7">
        <f>('Ver-Construção1'!$J$24/SUM('Ver-Construção1'!$G$24:'Ver-Construção1'!$J$24))</f>
        <v>0</v>
      </c>
      <c r="M31" s="5" t="s">
        <v>22</v>
      </c>
      <c r="N31" s="7">
        <f>('Ver-Transição1'!$G$18/SUM('Ver-Transição1'!$G$18:'Ver-Transição1'!$J$18))</f>
        <v>1</v>
      </c>
      <c r="O31" s="7">
        <f>('Ver-Transição1'!$H$18/SUM('Ver-Transição1'!$G$18:'Ver-Transição1'!$J$18))</f>
        <v>0</v>
      </c>
      <c r="P31" s="7">
        <f>('Ver-Transição1'!$I$18/SUM('Ver-Transição1'!$G$18:'Ver-Transição1'!$J$18))</f>
        <v>0</v>
      </c>
      <c r="Q31" s="7">
        <f>('Ver-Transição1'!$J$18/SUM('Ver-Transição1'!$G$18:'Ver-Transição1'!$J$18))</f>
        <v>0</v>
      </c>
    </row>
    <row r="32" spans="1:17" ht="15.75" customHeight="1" x14ac:dyDescent="0.25">
      <c r="A32" s="5" t="s">
        <v>23</v>
      </c>
      <c r="B32" s="7">
        <f>('Ver-Construção1'!$G$30/SUM('Ver-Construção1'!$G$30:'Ver-Construção1'!$J$30))</f>
        <v>0.4</v>
      </c>
      <c r="C32" s="7">
        <f>('Ver-Construção1'!$H$30/SUM('Ver-Construção1'!$G$30:'Ver-Construção1'!$J$30))</f>
        <v>0</v>
      </c>
      <c r="D32" s="7">
        <f>('Ver-Construção1'!$I$30/SUM('Ver-Construção1'!$G$30:'Ver-Construção1'!$J$30))</f>
        <v>0</v>
      </c>
      <c r="E32" s="7">
        <f>('Ver-Construção1'!$J$30/SUM('Ver-Construção1'!$G$30:'Ver-Construção1'!$J$30))</f>
        <v>0.6</v>
      </c>
      <c r="M32" s="5" t="s">
        <v>26</v>
      </c>
      <c r="N32" s="7">
        <f>('Ver-Transição1'!$G$23/SUM('Ver-Transição1'!$G$23:'Ver-Transição1'!$J$23))</f>
        <v>1</v>
      </c>
      <c r="O32" s="7">
        <f>('Ver-Transição1'!$H$23/SUM('Ver-Transição1'!$G$23:'Ver-Transição1'!$J$23))</f>
        <v>0</v>
      </c>
      <c r="P32" s="7">
        <f>('Ver-Transição1'!$I$23/SUM('Ver-Transição1'!$G$23:'Ver-Transição1'!$J$23))</f>
        <v>0</v>
      </c>
      <c r="Q32" s="7">
        <f>('Ver-Transição1'!$J$23/SUM('Ver-Transição1'!$G$23:'Ver-Transição1'!$J$23))</f>
        <v>0</v>
      </c>
    </row>
    <row r="33" spans="1:17" ht="15.75" customHeight="1" x14ac:dyDescent="0.25">
      <c r="A33" s="5" t="s">
        <v>24</v>
      </c>
      <c r="B33" s="7">
        <f>('Ver-Construção1'!$G$36/SUM('Ver-Construção1'!$G$36:'Ver-Construção1'!$J$36))</f>
        <v>1</v>
      </c>
      <c r="C33" s="7">
        <f>('Ver-Construção1'!$H$36/SUM('Ver-Construção1'!$G$36:'Ver-Construção1'!$J$36))</f>
        <v>0</v>
      </c>
      <c r="D33" s="7">
        <f>('Ver-Construção1'!$I$36/SUM('Ver-Construção1'!$G$36:'Ver-Construção1'!$J$36))</f>
        <v>0</v>
      </c>
      <c r="E33" s="7">
        <f>('Ver-Construção1'!$J$36/SUM('Ver-Construção1'!$G$36:'Ver-Construção1'!$J$36))</f>
        <v>0</v>
      </c>
      <c r="M33" s="5" t="s">
        <v>27</v>
      </c>
      <c r="N33" s="7">
        <f>('Ver-Transição1'!$G$26/SUM('Ver-Transição1'!$G$26:'Ver-Transição1'!$J$26))</f>
        <v>1</v>
      </c>
      <c r="O33" s="7">
        <f>('Ver-Transição1'!$H$26/SUM('Ver-Transição1'!$G$26:'Ver-Transição1'!$J$26))</f>
        <v>0</v>
      </c>
      <c r="P33" s="7">
        <f>('Ver-Transição1'!$I$26/SUM('Ver-Transição1'!$G$26:'Ver-Transição1'!$J$26))</f>
        <v>0</v>
      </c>
      <c r="Q33" s="7">
        <f>('Ver-Transição1'!$J$26/SUM('Ver-Transição1'!$G$26:'Ver-Transição1'!$J$26))</f>
        <v>0</v>
      </c>
    </row>
    <row r="34" spans="1:17" ht="15.75" customHeight="1" x14ac:dyDescent="0.25">
      <c r="A34" s="5" t="s">
        <v>25</v>
      </c>
      <c r="B34" s="7">
        <f>('Ver-Construção1'!$G$41/SUM('Ver-Construção1'!$G$41:'Ver-Construção1'!$J$41))</f>
        <v>0.5</v>
      </c>
      <c r="C34" s="7">
        <f>('Ver-Construção1'!$H$41/SUM('Ver-Construção1'!$G$41:'Ver-Construção1'!$J$41))</f>
        <v>0</v>
      </c>
      <c r="D34" s="7">
        <f>('Ver-Construção1'!$I$41/SUM('Ver-Construção1'!$G$41:'Ver-Construção1'!$J$41))</f>
        <v>0</v>
      </c>
      <c r="E34" s="7">
        <f>('Ver-Construção1'!$J$41/SUM('Ver-Construção1'!$G$41:'Ver-Construção1'!$J$41))</f>
        <v>0.5</v>
      </c>
      <c r="M34" s="5" t="s">
        <v>28</v>
      </c>
      <c r="N34" s="6">
        <f>('Ver-Transição1'!$G$29/SUM('Ver-Transição1'!$G$29:'Ver-Transição1'!$J$29))</f>
        <v>1</v>
      </c>
      <c r="O34" s="7">
        <f>('Ver-Transição1'!$H$29/SUM('Ver-Transição1'!$G$29:'Ver-Transição1'!$J$29))</f>
        <v>0</v>
      </c>
      <c r="P34" s="7">
        <f>('Ver-Transição1'!$I$29/SUM('Ver-Transição1'!$G$29:'Ver-Transição1'!$J$29))</f>
        <v>0</v>
      </c>
      <c r="Q34" s="7">
        <f>('Ver-Transição1'!$J$29/SUM('Ver-Transição1'!$G$29:'Ver-Transição1'!$J$29))</f>
        <v>0</v>
      </c>
    </row>
    <row r="35" spans="1:17" ht="15.75" customHeight="1" x14ac:dyDescent="0.25">
      <c r="M35" s="5" t="s">
        <v>23</v>
      </c>
      <c r="N35" s="7">
        <f>('Ver-Transição1'!$G$31/SUM('Ver-Transição1'!$G$31:'Ver-Transição1'!$J$31))</f>
        <v>0.4</v>
      </c>
      <c r="O35" s="7">
        <f>('Ver-Transição1'!$H$31/SUM('Ver-Transição1'!$G$31:'Ver-Transição1'!$J$31))</f>
        <v>0.2</v>
      </c>
      <c r="P35" s="7">
        <f>('Ver-Transição1'!$I$31/SUM('Ver-Transição1'!$G$31:'Ver-Transição1'!$J$31))</f>
        <v>0</v>
      </c>
      <c r="Q35" s="7">
        <f>('Ver-Transição1'!$J$31/SUM('Ver-Transição1'!$G$31:'Ver-Transição1'!$J$31))</f>
        <v>0.4</v>
      </c>
    </row>
    <row r="36" spans="1:17" ht="15.75" customHeight="1" x14ac:dyDescent="0.25">
      <c r="M36" s="5" t="s">
        <v>24</v>
      </c>
      <c r="N36" s="7">
        <f>('Ver-Transição1'!$G$37/SUM('Ver-Transição1'!$G$37:'Ver-Transição1'!$J$37))</f>
        <v>1</v>
      </c>
      <c r="O36" s="7">
        <f>('Ver-Transição1'!$H$37/SUM('Ver-Transição1'!$G$37:'Ver-Transição1'!$J$37))</f>
        <v>0</v>
      </c>
      <c r="P36" s="7">
        <f>('Ver-Transição1'!$I$37/SUM('Ver-Transição1'!$G$37:'Ver-Transição1'!$J$37))</f>
        <v>0</v>
      </c>
      <c r="Q36" s="7">
        <f>('Ver-Transição1'!$J$37/SUM('Ver-Transição1'!$G$37:'Ver-Transição1'!$J$37))</f>
        <v>0</v>
      </c>
    </row>
    <row r="37" spans="1:17" ht="15.75" customHeight="1" x14ac:dyDescent="0.25">
      <c r="M37" s="5" t="s">
        <v>25</v>
      </c>
      <c r="N37" s="7">
        <f>('Ver-Transição1'!$G$42/SUM('Ver-Transição1'!$G$42:'Ver-Transição1'!$J$42))</f>
        <v>0.5</v>
      </c>
      <c r="O37" s="7">
        <f>('Ver-Transição1'!$H$42/SUM('Ver-Transição1'!$G$42:'Ver-Transição1'!$J$42))</f>
        <v>0</v>
      </c>
      <c r="P37" s="7">
        <f>('Ver-Transição1'!$I$42/SUM('Ver-Transição1'!$G$42:'Ver-Transição1'!$J$42))</f>
        <v>0</v>
      </c>
      <c r="Q37" s="7">
        <f>('Ver-Transição1'!$J$42/SUM('Ver-Transição1'!$G$42:'Ver-Transição1'!$J$42))</f>
        <v>0.5</v>
      </c>
    </row>
    <row r="38" spans="1:17" ht="15.75" customHeight="1" x14ac:dyDescent="0.25"/>
    <row r="39" spans="1:17" ht="15.75" customHeight="1" x14ac:dyDescent="0.25"/>
    <row r="40" spans="1:17" ht="15.75" customHeight="1" x14ac:dyDescent="0.25"/>
    <row r="41" spans="1:17" ht="15.75" customHeight="1" x14ac:dyDescent="0.25"/>
    <row r="42" spans="1:17" ht="15.75" customHeight="1" x14ac:dyDescent="0.25"/>
    <row r="43" spans="1:17" ht="15.75" customHeight="1" x14ac:dyDescent="0.25"/>
    <row r="44" spans="1:17" ht="15.75" customHeight="1" x14ac:dyDescent="0.25"/>
    <row r="45" spans="1:17" ht="15.75" customHeight="1" x14ac:dyDescent="0.25"/>
    <row r="46" spans="1:17" ht="15.75" customHeight="1" x14ac:dyDescent="0.25"/>
    <row r="47" spans="1:17" ht="15.75" customHeight="1" x14ac:dyDescent="0.25"/>
    <row r="48" spans="1:1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511811024" right="0.511811024" top="0.78740157499999996" bottom="0.78740157499999996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sqref="A1:F1"/>
    </sheetView>
  </sheetViews>
  <sheetFormatPr defaultColWidth="14.42578125" defaultRowHeight="15" customHeight="1" x14ac:dyDescent="0.25"/>
  <cols>
    <col min="1" max="1" width="21.140625" customWidth="1"/>
    <col min="2" max="2" width="5.28515625" customWidth="1"/>
    <col min="3" max="3" width="91.5703125" customWidth="1"/>
    <col min="4" max="4" width="9.85546875" customWidth="1"/>
    <col min="5" max="5" width="31.85546875" customWidth="1"/>
    <col min="6" max="6" width="28" customWidth="1"/>
    <col min="7" max="7" width="4.42578125" hidden="1" customWidth="1"/>
    <col min="8" max="8" width="6.140625" hidden="1" customWidth="1"/>
    <col min="9" max="9" width="9.28515625" hidden="1" customWidth="1"/>
    <col min="10" max="10" width="6" hidden="1" customWidth="1"/>
    <col min="11" max="26" width="8.7109375" customWidth="1"/>
  </cols>
  <sheetData>
    <row r="1" spans="1:26" ht="19.5" customHeight="1" x14ac:dyDescent="0.25">
      <c r="A1" s="36" t="s">
        <v>29</v>
      </c>
      <c r="B1" s="37"/>
      <c r="C1" s="37"/>
      <c r="D1" s="37"/>
      <c r="E1" s="37"/>
      <c r="F1" s="38"/>
    </row>
    <row r="2" spans="1:26" ht="18.75" customHeight="1" x14ac:dyDescent="0.25">
      <c r="A2" s="39" t="s">
        <v>30</v>
      </c>
      <c r="B2" s="38"/>
      <c r="C2" s="8">
        <v>46113</v>
      </c>
      <c r="D2" s="40" t="s">
        <v>31</v>
      </c>
      <c r="E2" s="41"/>
      <c r="F2" s="9">
        <f>COUNTIF(D5:D41,"Sim")/(COUNTA(D5:D41)-COUNTIF(D5:D41,"NA"))</f>
        <v>0.77272727272727271</v>
      </c>
    </row>
    <row r="3" spans="1:26" ht="18.75" customHeight="1" x14ac:dyDescent="0.25">
      <c r="A3" s="39" t="s">
        <v>32</v>
      </c>
      <c r="B3" s="38"/>
      <c r="C3" s="10" t="s">
        <v>33</v>
      </c>
      <c r="D3" s="47" t="s">
        <v>34</v>
      </c>
      <c r="E3" s="43"/>
      <c r="F3" s="44"/>
    </row>
    <row r="4" spans="1:26" ht="18.75" customHeight="1" x14ac:dyDescent="0.25">
      <c r="A4" s="11" t="s">
        <v>35</v>
      </c>
      <c r="B4" s="11" t="s">
        <v>36</v>
      </c>
      <c r="C4" s="11" t="s">
        <v>37</v>
      </c>
      <c r="D4" s="12" t="s">
        <v>38</v>
      </c>
      <c r="E4" s="13" t="s">
        <v>39</v>
      </c>
      <c r="F4" s="14" t="s">
        <v>40</v>
      </c>
    </row>
    <row r="5" spans="1:26" ht="18.75" customHeight="1" x14ac:dyDescent="0.25">
      <c r="A5" s="29" t="s">
        <v>41</v>
      </c>
      <c r="B5" s="15"/>
      <c r="C5" s="16" t="s">
        <v>12</v>
      </c>
      <c r="D5" s="17"/>
      <c r="E5" s="17"/>
      <c r="F5" s="17"/>
      <c r="G5" s="5">
        <f>COUNTIF(D6,"Sim")</f>
        <v>0</v>
      </c>
      <c r="H5" s="5">
        <f>COUNTIF(D6,"Parcialmente")</f>
        <v>0</v>
      </c>
      <c r="I5" s="5">
        <f>COUNTIF(D6,"Não")</f>
        <v>1</v>
      </c>
      <c r="J5" s="5">
        <f>COUNTIF(D6,"NA")</f>
        <v>0</v>
      </c>
    </row>
    <row r="6" spans="1:26" ht="18.75" customHeight="1" x14ac:dyDescent="0.25">
      <c r="A6" s="32"/>
      <c r="B6" s="18">
        <v>1</v>
      </c>
      <c r="C6" s="19" t="s">
        <v>42</v>
      </c>
      <c r="D6" s="20" t="s">
        <v>43</v>
      </c>
      <c r="E6" s="19"/>
      <c r="F6" s="19"/>
    </row>
    <row r="7" spans="1:26" ht="15" customHeight="1" x14ac:dyDescent="0.25">
      <c r="A7" s="29" t="s">
        <v>44</v>
      </c>
      <c r="B7" s="15"/>
      <c r="C7" s="16" t="s">
        <v>13</v>
      </c>
      <c r="D7" s="17"/>
      <c r="E7" s="17"/>
      <c r="F7" s="17"/>
      <c r="G7" s="5">
        <f>COUNTIF(D8:D12,"Sim")</f>
        <v>4</v>
      </c>
      <c r="H7" s="5">
        <f>COUNTIF(D8:D12,"Parcialmente")</f>
        <v>1</v>
      </c>
      <c r="I7" s="5">
        <f>COUNTIF(D8:D12,"Não")</f>
        <v>0</v>
      </c>
      <c r="J7" s="5">
        <f>COUNTIF(D8:D12,"NA")</f>
        <v>0</v>
      </c>
    </row>
    <row r="8" spans="1:26" ht="15" customHeight="1" x14ac:dyDescent="0.25">
      <c r="A8" s="30"/>
      <c r="B8" s="21">
        <v>2</v>
      </c>
      <c r="C8" s="22" t="s">
        <v>45</v>
      </c>
      <c r="D8" s="20" t="s">
        <v>46</v>
      </c>
      <c r="E8" s="19"/>
      <c r="F8" s="19"/>
    </row>
    <row r="9" spans="1:26" ht="18.75" customHeight="1" x14ac:dyDescent="0.25">
      <c r="A9" s="30"/>
      <c r="B9" s="18">
        <v>3</v>
      </c>
      <c r="C9" s="19" t="s">
        <v>47</v>
      </c>
      <c r="D9" s="20" t="s">
        <v>46</v>
      </c>
      <c r="E9" s="19"/>
      <c r="F9" s="19"/>
    </row>
    <row r="10" spans="1:26" ht="18.75" customHeight="1" x14ac:dyDescent="0.25">
      <c r="A10" s="30"/>
      <c r="B10" s="18">
        <v>4</v>
      </c>
      <c r="C10" s="19" t="s">
        <v>48</v>
      </c>
      <c r="D10" s="20" t="s">
        <v>46</v>
      </c>
      <c r="E10" s="19"/>
      <c r="F10" s="19"/>
    </row>
    <row r="11" spans="1:26" ht="18.75" customHeight="1" x14ac:dyDescent="0.25">
      <c r="A11" s="30"/>
      <c r="B11" s="18">
        <v>5</v>
      </c>
      <c r="C11" s="19" t="s">
        <v>49</v>
      </c>
      <c r="D11" s="20" t="s">
        <v>46</v>
      </c>
      <c r="E11" s="19"/>
      <c r="F11" s="19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spans="1:26" ht="16.5" customHeight="1" x14ac:dyDescent="0.25">
      <c r="A12" s="30"/>
      <c r="B12" s="18">
        <v>6</v>
      </c>
      <c r="C12" s="19" t="s">
        <v>50</v>
      </c>
      <c r="D12" s="20" t="s">
        <v>51</v>
      </c>
      <c r="E12" s="19"/>
      <c r="F12" s="19"/>
    </row>
    <row r="13" spans="1:26" ht="18.75" customHeight="1" x14ac:dyDescent="0.25">
      <c r="A13" s="30"/>
      <c r="B13" s="15"/>
      <c r="C13" s="16" t="s">
        <v>14</v>
      </c>
      <c r="D13" s="17"/>
      <c r="E13" s="17"/>
      <c r="F13" s="17"/>
      <c r="G13" s="5">
        <f>COUNTIF(D14:D18,"Sim")</f>
        <v>3</v>
      </c>
      <c r="H13" s="5">
        <f>COUNTIF(D14:D18,"Parcialmente")</f>
        <v>1</v>
      </c>
      <c r="I13" s="5">
        <f>COUNTIF(D14:D18,"Não")</f>
        <v>0</v>
      </c>
      <c r="J13" s="5">
        <f>COUNTIF(D14:D18,"NA")</f>
        <v>1</v>
      </c>
    </row>
    <row r="14" spans="1:26" ht="18.75" customHeight="1" x14ac:dyDescent="0.25">
      <c r="A14" s="30"/>
      <c r="B14" s="24">
        <v>7</v>
      </c>
      <c r="C14" s="22" t="s">
        <v>45</v>
      </c>
      <c r="D14" s="20" t="s">
        <v>46</v>
      </c>
      <c r="E14" s="19"/>
      <c r="F14" s="19"/>
    </row>
    <row r="15" spans="1:26" ht="18.75" customHeight="1" x14ac:dyDescent="0.25">
      <c r="A15" s="30"/>
      <c r="B15" s="18">
        <v>8</v>
      </c>
      <c r="C15" s="19" t="s">
        <v>52</v>
      </c>
      <c r="D15" s="20" t="s">
        <v>46</v>
      </c>
      <c r="E15" s="19"/>
      <c r="F15" s="19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6" ht="18.75" customHeight="1" x14ac:dyDescent="0.25">
      <c r="A16" s="30"/>
      <c r="B16" s="18">
        <v>9</v>
      </c>
      <c r="C16" s="19" t="s">
        <v>53</v>
      </c>
      <c r="D16" s="20" t="s">
        <v>46</v>
      </c>
      <c r="E16" s="19"/>
      <c r="F16" s="19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spans="1:26" ht="18.75" customHeight="1" x14ac:dyDescent="0.25">
      <c r="A17" s="30"/>
      <c r="B17" s="24">
        <v>10</v>
      </c>
      <c r="C17" s="22" t="s">
        <v>54</v>
      </c>
      <c r="D17" s="20" t="s">
        <v>55</v>
      </c>
      <c r="E17" s="19"/>
      <c r="F17" s="19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spans="1:26" ht="18.75" customHeight="1" x14ac:dyDescent="0.25">
      <c r="A18" s="30"/>
      <c r="B18" s="18">
        <v>11</v>
      </c>
      <c r="C18" s="19" t="s">
        <v>56</v>
      </c>
      <c r="D18" s="20" t="s">
        <v>51</v>
      </c>
      <c r="E18" s="19"/>
      <c r="F18" s="19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spans="1:26" ht="18.75" customHeight="1" x14ac:dyDescent="0.25">
      <c r="A19" s="30"/>
      <c r="B19" s="15"/>
      <c r="C19" s="16" t="s">
        <v>57</v>
      </c>
      <c r="D19" s="17"/>
      <c r="E19" s="17"/>
      <c r="F19" s="17"/>
      <c r="G19" s="5">
        <f>COUNTIF(D20:D21,"Sim")</f>
        <v>0</v>
      </c>
      <c r="H19" s="5">
        <f>COUNTIF(D20:D21,"Parcialmente")</f>
        <v>0</v>
      </c>
      <c r="I19" s="5">
        <f>COUNTIF(D20:D21,"Não")</f>
        <v>0</v>
      </c>
      <c r="J19" s="5">
        <f>COUNTIF(D20:D21,"NA")</f>
        <v>2</v>
      </c>
    </row>
    <row r="20" spans="1:26" ht="18.75" customHeight="1" x14ac:dyDescent="0.25">
      <c r="A20" s="30"/>
      <c r="B20" s="24">
        <v>12</v>
      </c>
      <c r="C20" s="22" t="s">
        <v>58</v>
      </c>
      <c r="D20" s="20" t="s">
        <v>55</v>
      </c>
      <c r="E20" s="19"/>
      <c r="F20" s="19"/>
    </row>
    <row r="21" spans="1:26" ht="18.75" customHeight="1" x14ac:dyDescent="0.25">
      <c r="A21" s="30"/>
      <c r="B21" s="18">
        <v>13</v>
      </c>
      <c r="C21" s="19" t="s">
        <v>59</v>
      </c>
      <c r="D21" s="20" t="s">
        <v>55</v>
      </c>
      <c r="E21" s="19"/>
      <c r="F21" s="19"/>
    </row>
    <row r="22" spans="1:26" ht="18.75" customHeight="1" x14ac:dyDescent="0.25">
      <c r="A22" s="30"/>
      <c r="B22" s="15"/>
      <c r="C22" s="16" t="s">
        <v>16</v>
      </c>
      <c r="D22" s="17"/>
      <c r="E22" s="17"/>
      <c r="F22" s="17"/>
      <c r="G22" s="5">
        <f>COUNTIF(D23:D24,"Sim")</f>
        <v>0</v>
      </c>
      <c r="H22" s="5">
        <f>COUNTIF(D23:D24,"Parcialmente")</f>
        <v>0</v>
      </c>
      <c r="I22" s="5">
        <f>COUNTIF(D23:D24,"Não")</f>
        <v>0</v>
      </c>
      <c r="J22" s="5">
        <f>COUNTIF(D23:D24,"NA")</f>
        <v>2</v>
      </c>
    </row>
    <row r="23" spans="1:26" ht="18.75" customHeight="1" x14ac:dyDescent="0.25">
      <c r="A23" s="30"/>
      <c r="B23" s="24">
        <v>14</v>
      </c>
      <c r="C23" s="22" t="s">
        <v>45</v>
      </c>
      <c r="D23" s="20" t="s">
        <v>55</v>
      </c>
      <c r="E23" s="19"/>
      <c r="F23" s="19"/>
    </row>
    <row r="24" spans="1:26" ht="18.75" customHeight="1" x14ac:dyDescent="0.25">
      <c r="A24" s="30"/>
      <c r="B24" s="18">
        <v>15</v>
      </c>
      <c r="C24" s="19" t="s">
        <v>60</v>
      </c>
      <c r="D24" s="20" t="s">
        <v>55</v>
      </c>
      <c r="E24" s="19"/>
      <c r="F24" s="19"/>
    </row>
    <row r="25" spans="1:26" ht="18.75" customHeight="1" x14ac:dyDescent="0.25">
      <c r="A25" s="30"/>
      <c r="B25" s="15"/>
      <c r="C25" s="16" t="s">
        <v>17</v>
      </c>
      <c r="D25" s="17"/>
      <c r="E25" s="17"/>
      <c r="F25" s="17"/>
      <c r="G25" s="5">
        <f>COUNTIF(D26:D27,"Sim")</f>
        <v>0</v>
      </c>
      <c r="H25" s="5">
        <f>COUNTIF(D26:D27,"Parcialmente")</f>
        <v>0</v>
      </c>
      <c r="I25" s="5">
        <f>COUNTIF(D26:D27,"Não")</f>
        <v>0</v>
      </c>
      <c r="J25" s="5">
        <f>COUNTIF(D26:D27,"NA")</f>
        <v>2</v>
      </c>
    </row>
    <row r="26" spans="1:26" ht="18.75" customHeight="1" x14ac:dyDescent="0.25">
      <c r="A26" s="30"/>
      <c r="B26" s="24">
        <v>16</v>
      </c>
      <c r="C26" s="22" t="s">
        <v>45</v>
      </c>
      <c r="D26" s="20" t="s">
        <v>55</v>
      </c>
      <c r="E26" s="19"/>
      <c r="F26" s="19"/>
    </row>
    <row r="27" spans="1:26" ht="18.75" customHeight="1" x14ac:dyDescent="0.25">
      <c r="A27" s="31"/>
      <c r="B27" s="18">
        <v>17</v>
      </c>
      <c r="C27" s="19" t="s">
        <v>61</v>
      </c>
      <c r="D27" s="20" t="s">
        <v>55</v>
      </c>
      <c r="E27" s="19"/>
      <c r="F27" s="19"/>
    </row>
    <row r="28" spans="1:26" ht="18.75" customHeight="1" x14ac:dyDescent="0.25">
      <c r="A28" s="46"/>
      <c r="B28" s="15"/>
      <c r="C28" s="16" t="s">
        <v>23</v>
      </c>
      <c r="D28" s="17"/>
      <c r="E28" s="17"/>
      <c r="F28" s="17"/>
      <c r="G28" s="5">
        <f>COUNTIF(D29:D36,"Sim")</f>
        <v>7</v>
      </c>
      <c r="H28" s="5">
        <f>COUNTIF(D29:D36,"Parcialmente")</f>
        <v>1</v>
      </c>
      <c r="I28" s="5">
        <f>COUNTIF(D29:D36,"Não")</f>
        <v>0</v>
      </c>
      <c r="J28" s="5">
        <f>COUNTIF(D29:D36,"NA")</f>
        <v>0</v>
      </c>
    </row>
    <row r="29" spans="1:26" ht="18.75" customHeight="1" x14ac:dyDescent="0.25">
      <c r="A29" s="30"/>
      <c r="B29" s="24">
        <v>21</v>
      </c>
      <c r="C29" s="22" t="s">
        <v>45</v>
      </c>
      <c r="D29" s="20" t="s">
        <v>46</v>
      </c>
      <c r="E29" s="19"/>
      <c r="F29" s="19"/>
    </row>
    <row r="30" spans="1:26" ht="18.75" customHeight="1" x14ac:dyDescent="0.25">
      <c r="A30" s="30"/>
      <c r="B30" s="18">
        <v>22</v>
      </c>
      <c r="C30" s="19" t="s">
        <v>62</v>
      </c>
      <c r="D30" s="20" t="s">
        <v>46</v>
      </c>
      <c r="E30" s="19"/>
      <c r="F30" s="19"/>
    </row>
    <row r="31" spans="1:26" ht="18.75" customHeight="1" x14ac:dyDescent="0.25">
      <c r="A31" s="30"/>
      <c r="B31" s="18">
        <v>23</v>
      </c>
      <c r="C31" s="19" t="s">
        <v>63</v>
      </c>
      <c r="D31" s="20" t="s">
        <v>46</v>
      </c>
      <c r="E31" s="19"/>
      <c r="F31" s="19"/>
    </row>
    <row r="32" spans="1:26" ht="18.75" customHeight="1" x14ac:dyDescent="0.25">
      <c r="A32" s="30"/>
      <c r="B32" s="18">
        <v>24</v>
      </c>
      <c r="C32" s="19" t="s">
        <v>64</v>
      </c>
      <c r="D32" s="20" t="s">
        <v>46</v>
      </c>
      <c r="E32" s="19"/>
      <c r="F32" s="19"/>
    </row>
    <row r="33" spans="1:10" ht="18.75" customHeight="1" x14ac:dyDescent="0.25">
      <c r="A33" s="30"/>
      <c r="B33" s="18">
        <v>25</v>
      </c>
      <c r="C33" s="19" t="s">
        <v>65</v>
      </c>
      <c r="D33" s="20" t="s">
        <v>46</v>
      </c>
      <c r="E33" s="19"/>
      <c r="F33" s="19"/>
    </row>
    <row r="34" spans="1:10" ht="18.75" customHeight="1" x14ac:dyDescent="0.25">
      <c r="A34" s="30"/>
      <c r="B34" s="18">
        <v>26</v>
      </c>
      <c r="C34" s="19" t="s">
        <v>66</v>
      </c>
      <c r="D34" s="20" t="s">
        <v>46</v>
      </c>
      <c r="F34" s="19"/>
    </row>
    <row r="35" spans="1:10" ht="18.75" customHeight="1" x14ac:dyDescent="0.25">
      <c r="A35" s="30"/>
      <c r="B35" s="18">
        <v>27</v>
      </c>
      <c r="C35" s="19" t="s">
        <v>67</v>
      </c>
      <c r="D35" s="20" t="s">
        <v>46</v>
      </c>
      <c r="E35" s="19"/>
      <c r="F35" s="19"/>
    </row>
    <row r="36" spans="1:10" ht="18.75" customHeight="1" x14ac:dyDescent="0.25">
      <c r="A36" s="31"/>
      <c r="B36" s="18">
        <v>28</v>
      </c>
      <c r="C36" s="19" t="s">
        <v>68</v>
      </c>
      <c r="D36" s="19" t="s">
        <v>51</v>
      </c>
      <c r="E36" s="19"/>
      <c r="F36" s="19"/>
    </row>
    <row r="37" spans="1:10" ht="15" customHeight="1" x14ac:dyDescent="0.25">
      <c r="A37" s="33" t="s">
        <v>69</v>
      </c>
      <c r="B37" s="15"/>
      <c r="C37" s="16" t="s">
        <v>24</v>
      </c>
      <c r="D37" s="17"/>
      <c r="E37" s="17"/>
      <c r="F37" s="17"/>
      <c r="G37" s="5">
        <f>COUNTIF(D38:D41,"Sim")</f>
        <v>3</v>
      </c>
      <c r="H37" s="5">
        <f>COUNTIF(D38:D41,"Parcialmente")</f>
        <v>1</v>
      </c>
      <c r="I37" s="5">
        <f>COUNTIF(D38:D41,"Não")</f>
        <v>0</v>
      </c>
      <c r="J37" s="5">
        <f>COUNTIF(D38:D41,"NA")</f>
        <v>0</v>
      </c>
    </row>
    <row r="38" spans="1:10" ht="18.75" customHeight="1" x14ac:dyDescent="0.25">
      <c r="A38" s="34"/>
      <c r="B38" s="24">
        <v>30</v>
      </c>
      <c r="C38" s="22" t="s">
        <v>70</v>
      </c>
      <c r="D38" s="20" t="s">
        <v>46</v>
      </c>
      <c r="E38" s="19"/>
      <c r="F38" s="19"/>
    </row>
    <row r="39" spans="1:10" ht="18.75" customHeight="1" x14ac:dyDescent="0.25">
      <c r="A39" s="34"/>
      <c r="B39" s="18">
        <v>31</v>
      </c>
      <c r="C39" s="19" t="s">
        <v>71</v>
      </c>
      <c r="D39" s="20" t="s">
        <v>46</v>
      </c>
      <c r="E39" s="19"/>
      <c r="F39" s="19"/>
    </row>
    <row r="40" spans="1:10" ht="18.75" customHeight="1" x14ac:dyDescent="0.25">
      <c r="A40" s="34"/>
      <c r="B40" s="18">
        <v>32</v>
      </c>
      <c r="C40" s="19" t="s">
        <v>72</v>
      </c>
      <c r="D40" s="20" t="s">
        <v>46</v>
      </c>
      <c r="E40" s="19"/>
      <c r="F40" s="19"/>
    </row>
    <row r="41" spans="1:10" ht="20.25" customHeight="1" x14ac:dyDescent="0.25">
      <c r="A41" s="35"/>
      <c r="B41" s="18">
        <v>33</v>
      </c>
      <c r="C41" s="19" t="s">
        <v>73</v>
      </c>
      <c r="D41" s="20" t="s">
        <v>51</v>
      </c>
      <c r="E41" s="19"/>
      <c r="F41" s="19"/>
    </row>
    <row r="42" spans="1:10" ht="18.75" customHeight="1" x14ac:dyDescent="0.4">
      <c r="B42" s="25"/>
      <c r="C42" s="23"/>
    </row>
    <row r="43" spans="1:10" ht="18.75" customHeight="1" x14ac:dyDescent="0.4">
      <c r="B43" s="25"/>
      <c r="C43" s="23"/>
    </row>
    <row r="44" spans="1:10" ht="18.75" customHeight="1" x14ac:dyDescent="0.4">
      <c r="B44" s="25"/>
      <c r="C44" s="23"/>
    </row>
    <row r="45" spans="1:10" ht="18.75" customHeight="1" x14ac:dyDescent="0.4">
      <c r="B45" s="25"/>
      <c r="C45" s="23"/>
    </row>
    <row r="46" spans="1:10" ht="18.75" customHeight="1" x14ac:dyDescent="0.4">
      <c r="B46" s="25"/>
      <c r="C46" s="23"/>
    </row>
    <row r="47" spans="1:10" ht="18.75" customHeight="1" x14ac:dyDescent="0.4">
      <c r="B47" s="25"/>
      <c r="C47" s="23"/>
    </row>
    <row r="48" spans="1:10" ht="18.75" customHeight="1" x14ac:dyDescent="0.4">
      <c r="B48" s="25"/>
      <c r="C48" s="23"/>
    </row>
    <row r="49" spans="2:3" ht="18.75" customHeight="1" x14ac:dyDescent="0.4">
      <c r="B49" s="25"/>
      <c r="C49" s="23"/>
    </row>
    <row r="50" spans="2:3" ht="18.75" customHeight="1" x14ac:dyDescent="0.4">
      <c r="B50" s="25"/>
      <c r="C50" s="23"/>
    </row>
    <row r="51" spans="2:3" ht="18.75" customHeight="1" x14ac:dyDescent="0.4">
      <c r="B51" s="25"/>
      <c r="C51" s="23"/>
    </row>
    <row r="52" spans="2:3" ht="18.75" customHeight="1" x14ac:dyDescent="0.4">
      <c r="B52" s="25"/>
      <c r="C52" s="23"/>
    </row>
    <row r="53" spans="2:3" ht="18.75" customHeight="1" x14ac:dyDescent="0.4">
      <c r="B53" s="25"/>
      <c r="C53" s="23"/>
    </row>
    <row r="54" spans="2:3" ht="18.75" customHeight="1" x14ac:dyDescent="0.4">
      <c r="B54" s="25"/>
      <c r="C54" s="23"/>
    </row>
    <row r="55" spans="2:3" ht="18.75" customHeight="1" x14ac:dyDescent="0.4">
      <c r="B55" s="25"/>
      <c r="C55" s="23"/>
    </row>
    <row r="56" spans="2:3" ht="18.75" customHeight="1" x14ac:dyDescent="0.4">
      <c r="B56" s="25"/>
      <c r="C56" s="23"/>
    </row>
    <row r="57" spans="2:3" ht="18.75" customHeight="1" x14ac:dyDescent="0.4">
      <c r="B57" s="25"/>
      <c r="C57" s="23"/>
    </row>
    <row r="58" spans="2:3" ht="18.75" customHeight="1" x14ac:dyDescent="0.4">
      <c r="B58" s="25"/>
      <c r="C58" s="23"/>
    </row>
    <row r="59" spans="2:3" ht="18.75" customHeight="1" x14ac:dyDescent="0.4">
      <c r="B59" s="25"/>
      <c r="C59" s="23"/>
    </row>
    <row r="60" spans="2:3" ht="18.75" customHeight="1" x14ac:dyDescent="0.4">
      <c r="B60" s="25"/>
      <c r="C60" s="23"/>
    </row>
    <row r="61" spans="2:3" ht="18.75" customHeight="1" x14ac:dyDescent="0.4">
      <c r="B61" s="25"/>
      <c r="C61" s="23"/>
    </row>
    <row r="62" spans="2:3" ht="18.75" customHeight="1" x14ac:dyDescent="0.4">
      <c r="B62" s="25"/>
      <c r="C62" s="23"/>
    </row>
    <row r="63" spans="2:3" ht="18.75" customHeight="1" x14ac:dyDescent="0.4">
      <c r="B63" s="25"/>
      <c r="C63" s="23"/>
    </row>
    <row r="64" spans="2:3" ht="18.75" customHeight="1" x14ac:dyDescent="0.4">
      <c r="B64" s="25"/>
      <c r="C64" s="23"/>
    </row>
    <row r="65" spans="2:3" ht="18.75" customHeight="1" x14ac:dyDescent="0.4">
      <c r="B65" s="25"/>
      <c r="C65" s="23"/>
    </row>
    <row r="66" spans="2:3" ht="18.75" customHeight="1" x14ac:dyDescent="0.4">
      <c r="B66" s="25"/>
      <c r="C66" s="23"/>
    </row>
    <row r="67" spans="2:3" ht="18.75" customHeight="1" x14ac:dyDescent="0.4">
      <c r="B67" s="25"/>
      <c r="C67" s="23"/>
    </row>
    <row r="68" spans="2:3" ht="18.75" customHeight="1" x14ac:dyDescent="0.4">
      <c r="B68" s="25"/>
      <c r="C68" s="23"/>
    </row>
    <row r="69" spans="2:3" ht="18.75" customHeight="1" x14ac:dyDescent="0.4">
      <c r="B69" s="25"/>
      <c r="C69" s="23"/>
    </row>
    <row r="70" spans="2:3" ht="18.75" customHeight="1" x14ac:dyDescent="0.4">
      <c r="B70" s="25"/>
      <c r="C70" s="23"/>
    </row>
    <row r="71" spans="2:3" ht="18.75" customHeight="1" x14ac:dyDescent="0.4">
      <c r="B71" s="25"/>
      <c r="C71" s="23"/>
    </row>
    <row r="72" spans="2:3" ht="18.75" customHeight="1" x14ac:dyDescent="0.4">
      <c r="B72" s="25"/>
      <c r="C72" s="23"/>
    </row>
    <row r="73" spans="2:3" ht="18.75" customHeight="1" x14ac:dyDescent="0.4">
      <c r="B73" s="25"/>
      <c r="C73" s="23"/>
    </row>
    <row r="74" spans="2:3" ht="18.75" customHeight="1" x14ac:dyDescent="0.4">
      <c r="B74" s="25"/>
      <c r="C74" s="23"/>
    </row>
    <row r="75" spans="2:3" ht="18.75" customHeight="1" x14ac:dyDescent="0.4">
      <c r="B75" s="25"/>
      <c r="C75" s="23"/>
    </row>
    <row r="76" spans="2:3" ht="18.75" customHeight="1" x14ac:dyDescent="0.4">
      <c r="B76" s="25"/>
      <c r="C76" s="23"/>
    </row>
    <row r="77" spans="2:3" ht="18.75" customHeight="1" x14ac:dyDescent="0.4">
      <c r="B77" s="25"/>
      <c r="C77" s="23"/>
    </row>
    <row r="78" spans="2:3" ht="18.75" customHeight="1" x14ac:dyDescent="0.4">
      <c r="B78" s="25"/>
      <c r="C78" s="23"/>
    </row>
    <row r="79" spans="2:3" ht="18.75" customHeight="1" x14ac:dyDescent="0.4">
      <c r="B79" s="25"/>
      <c r="C79" s="23"/>
    </row>
    <row r="80" spans="2:3" ht="18.75" customHeight="1" x14ac:dyDescent="0.4">
      <c r="B80" s="25"/>
      <c r="C80" s="23"/>
    </row>
    <row r="81" spans="2:3" ht="18.75" customHeight="1" x14ac:dyDescent="0.4">
      <c r="B81" s="25"/>
      <c r="C81" s="23"/>
    </row>
    <row r="82" spans="2:3" ht="18.75" customHeight="1" x14ac:dyDescent="0.4">
      <c r="B82" s="25"/>
      <c r="C82" s="23"/>
    </row>
    <row r="83" spans="2:3" ht="18.75" customHeight="1" x14ac:dyDescent="0.4">
      <c r="B83" s="25"/>
      <c r="C83" s="23"/>
    </row>
    <row r="84" spans="2:3" ht="18.75" customHeight="1" x14ac:dyDescent="0.4">
      <c r="B84" s="25"/>
      <c r="C84" s="23"/>
    </row>
    <row r="85" spans="2:3" ht="18.75" customHeight="1" x14ac:dyDescent="0.4">
      <c r="B85" s="25"/>
      <c r="C85" s="23"/>
    </row>
    <row r="86" spans="2:3" ht="18.75" customHeight="1" x14ac:dyDescent="0.4">
      <c r="B86" s="25"/>
      <c r="C86" s="23"/>
    </row>
    <row r="87" spans="2:3" ht="18.75" customHeight="1" x14ac:dyDescent="0.4">
      <c r="B87" s="25"/>
      <c r="C87" s="23"/>
    </row>
    <row r="88" spans="2:3" ht="18.75" customHeight="1" x14ac:dyDescent="0.4">
      <c r="B88" s="25"/>
      <c r="C88" s="23"/>
    </row>
    <row r="89" spans="2:3" ht="18.75" customHeight="1" x14ac:dyDescent="0.4">
      <c r="B89" s="25"/>
      <c r="C89" s="23"/>
    </row>
    <row r="90" spans="2:3" ht="18.75" customHeight="1" x14ac:dyDescent="0.4">
      <c r="B90" s="25"/>
      <c r="C90" s="23"/>
    </row>
    <row r="91" spans="2:3" ht="18.75" customHeight="1" x14ac:dyDescent="0.4">
      <c r="B91" s="25"/>
      <c r="C91" s="23"/>
    </row>
    <row r="92" spans="2:3" ht="18.75" customHeight="1" x14ac:dyDescent="0.4">
      <c r="B92" s="25"/>
      <c r="C92" s="23"/>
    </row>
    <row r="93" spans="2:3" ht="18.75" customHeight="1" x14ac:dyDescent="0.4">
      <c r="B93" s="25"/>
      <c r="C93" s="23"/>
    </row>
    <row r="94" spans="2:3" ht="18.75" customHeight="1" x14ac:dyDescent="0.4">
      <c r="B94" s="25"/>
      <c r="C94" s="23"/>
    </row>
    <row r="95" spans="2:3" ht="18.75" customHeight="1" x14ac:dyDescent="0.4">
      <c r="B95" s="25"/>
      <c r="C95" s="23"/>
    </row>
    <row r="96" spans="2:3" ht="18.75" customHeight="1" x14ac:dyDescent="0.4">
      <c r="B96" s="25"/>
      <c r="C96" s="23"/>
    </row>
    <row r="97" spans="2:3" ht="18.75" customHeight="1" x14ac:dyDescent="0.4">
      <c r="B97" s="25"/>
      <c r="C97" s="23"/>
    </row>
    <row r="98" spans="2:3" ht="18.75" customHeight="1" x14ac:dyDescent="0.4">
      <c r="B98" s="25"/>
      <c r="C98" s="23"/>
    </row>
    <row r="99" spans="2:3" ht="18.75" customHeight="1" x14ac:dyDescent="0.4">
      <c r="B99" s="25"/>
      <c r="C99" s="23"/>
    </row>
    <row r="100" spans="2:3" ht="18.75" customHeight="1" x14ac:dyDescent="0.4">
      <c r="B100" s="25"/>
      <c r="C100" s="23"/>
    </row>
    <row r="101" spans="2:3" ht="18.75" customHeight="1" x14ac:dyDescent="0.4">
      <c r="B101" s="25"/>
      <c r="C101" s="23"/>
    </row>
    <row r="102" spans="2:3" ht="18.75" customHeight="1" x14ac:dyDescent="0.4">
      <c r="B102" s="25"/>
      <c r="C102" s="23"/>
    </row>
    <row r="103" spans="2:3" ht="18.75" customHeight="1" x14ac:dyDescent="0.4">
      <c r="B103" s="25"/>
      <c r="C103" s="23"/>
    </row>
    <row r="104" spans="2:3" ht="18.75" customHeight="1" x14ac:dyDescent="0.4">
      <c r="B104" s="25"/>
      <c r="C104" s="23"/>
    </row>
    <row r="105" spans="2:3" ht="18.75" customHeight="1" x14ac:dyDescent="0.4">
      <c r="B105" s="25"/>
      <c r="C105" s="23"/>
    </row>
    <row r="106" spans="2:3" ht="18.75" customHeight="1" x14ac:dyDescent="0.4">
      <c r="B106" s="25"/>
      <c r="C106" s="23"/>
    </row>
    <row r="107" spans="2:3" ht="18.75" customHeight="1" x14ac:dyDescent="0.4">
      <c r="B107" s="25"/>
      <c r="C107" s="23"/>
    </row>
    <row r="108" spans="2:3" ht="18.75" customHeight="1" x14ac:dyDescent="0.4">
      <c r="B108" s="25"/>
      <c r="C108" s="23"/>
    </row>
    <row r="109" spans="2:3" ht="18.75" customHeight="1" x14ac:dyDescent="0.4">
      <c r="B109" s="25"/>
      <c r="C109" s="23"/>
    </row>
    <row r="110" spans="2:3" ht="18.75" customHeight="1" x14ac:dyDescent="0.4">
      <c r="B110" s="25"/>
      <c r="C110" s="23"/>
    </row>
    <row r="111" spans="2:3" ht="18.75" customHeight="1" x14ac:dyDescent="0.4">
      <c r="B111" s="25"/>
      <c r="C111" s="23"/>
    </row>
    <row r="112" spans="2:3" ht="18.75" customHeight="1" x14ac:dyDescent="0.4">
      <c r="B112" s="25"/>
      <c r="C112" s="23"/>
    </row>
    <row r="113" spans="2:3" ht="18.75" customHeight="1" x14ac:dyDescent="0.4">
      <c r="B113" s="25"/>
      <c r="C113" s="23"/>
    </row>
    <row r="114" spans="2:3" ht="18.75" customHeight="1" x14ac:dyDescent="0.4">
      <c r="B114" s="25"/>
      <c r="C114" s="23"/>
    </row>
    <row r="115" spans="2:3" ht="18.75" customHeight="1" x14ac:dyDescent="0.4">
      <c r="B115" s="25"/>
      <c r="C115" s="23"/>
    </row>
    <row r="116" spans="2:3" ht="18.75" customHeight="1" x14ac:dyDescent="0.4">
      <c r="B116" s="25"/>
      <c r="C116" s="23"/>
    </row>
    <row r="117" spans="2:3" ht="18.75" customHeight="1" x14ac:dyDescent="0.4">
      <c r="B117" s="25"/>
      <c r="C117" s="23"/>
    </row>
    <row r="118" spans="2:3" ht="18.75" customHeight="1" x14ac:dyDescent="0.4">
      <c r="B118" s="25"/>
      <c r="C118" s="23"/>
    </row>
    <row r="119" spans="2:3" ht="18.75" customHeight="1" x14ac:dyDescent="0.4">
      <c r="B119" s="25"/>
      <c r="C119" s="23"/>
    </row>
    <row r="120" spans="2:3" ht="18.75" customHeight="1" x14ac:dyDescent="0.4">
      <c r="B120" s="25"/>
      <c r="C120" s="23"/>
    </row>
    <row r="121" spans="2:3" ht="18.75" customHeight="1" x14ac:dyDescent="0.4">
      <c r="B121" s="25"/>
      <c r="C121" s="23"/>
    </row>
    <row r="122" spans="2:3" ht="18.75" customHeight="1" x14ac:dyDescent="0.4">
      <c r="B122" s="25"/>
      <c r="C122" s="23"/>
    </row>
    <row r="123" spans="2:3" ht="18.75" customHeight="1" x14ac:dyDescent="0.4">
      <c r="B123" s="25"/>
      <c r="C123" s="23"/>
    </row>
    <row r="124" spans="2:3" ht="18.75" customHeight="1" x14ac:dyDescent="0.4">
      <c r="B124" s="25"/>
      <c r="C124" s="23"/>
    </row>
    <row r="125" spans="2:3" ht="18.75" customHeight="1" x14ac:dyDescent="0.4">
      <c r="B125" s="25"/>
      <c r="C125" s="23"/>
    </row>
    <row r="126" spans="2:3" ht="18.75" customHeight="1" x14ac:dyDescent="0.4">
      <c r="B126" s="25"/>
      <c r="C126" s="23"/>
    </row>
    <row r="127" spans="2:3" ht="18.75" customHeight="1" x14ac:dyDescent="0.4">
      <c r="B127" s="25"/>
      <c r="C127" s="23"/>
    </row>
    <row r="128" spans="2:3" ht="18.75" customHeight="1" x14ac:dyDescent="0.4">
      <c r="B128" s="25"/>
      <c r="C128" s="23"/>
    </row>
    <row r="129" spans="2:3" ht="18.75" customHeight="1" x14ac:dyDescent="0.4">
      <c r="B129" s="25"/>
      <c r="C129" s="23"/>
    </row>
    <row r="130" spans="2:3" ht="18.75" customHeight="1" x14ac:dyDescent="0.4">
      <c r="B130" s="25"/>
      <c r="C130" s="23"/>
    </row>
    <row r="131" spans="2:3" ht="18.75" customHeight="1" x14ac:dyDescent="0.4">
      <c r="B131" s="25"/>
      <c r="C131" s="23"/>
    </row>
    <row r="132" spans="2:3" ht="18.75" customHeight="1" x14ac:dyDescent="0.4">
      <c r="B132" s="25"/>
      <c r="C132" s="23"/>
    </row>
    <row r="133" spans="2:3" ht="18.75" customHeight="1" x14ac:dyDescent="0.4">
      <c r="B133" s="25"/>
      <c r="C133" s="23"/>
    </row>
    <row r="134" spans="2:3" ht="18.75" customHeight="1" x14ac:dyDescent="0.4">
      <c r="B134" s="25"/>
      <c r="C134" s="23"/>
    </row>
    <row r="135" spans="2:3" ht="18.75" customHeight="1" x14ac:dyDescent="0.4">
      <c r="B135" s="25"/>
      <c r="C135" s="23"/>
    </row>
    <row r="136" spans="2:3" ht="18.75" customHeight="1" x14ac:dyDescent="0.4">
      <c r="B136" s="25"/>
      <c r="C136" s="23"/>
    </row>
    <row r="137" spans="2:3" ht="18.75" customHeight="1" x14ac:dyDescent="0.4">
      <c r="B137" s="25"/>
      <c r="C137" s="23"/>
    </row>
    <row r="138" spans="2:3" ht="18.75" customHeight="1" x14ac:dyDescent="0.4">
      <c r="B138" s="25"/>
      <c r="C138" s="23"/>
    </row>
    <row r="139" spans="2:3" ht="18.75" customHeight="1" x14ac:dyDescent="0.4">
      <c r="B139" s="25"/>
      <c r="C139" s="23"/>
    </row>
    <row r="140" spans="2:3" ht="18.75" customHeight="1" x14ac:dyDescent="0.4">
      <c r="B140" s="25"/>
      <c r="C140" s="23"/>
    </row>
    <row r="141" spans="2:3" ht="18.75" customHeight="1" x14ac:dyDescent="0.4">
      <c r="B141" s="25"/>
      <c r="C141" s="23"/>
    </row>
    <row r="142" spans="2:3" ht="18.75" customHeight="1" x14ac:dyDescent="0.4">
      <c r="B142" s="25"/>
      <c r="C142" s="23"/>
    </row>
    <row r="143" spans="2:3" ht="18.75" customHeight="1" x14ac:dyDescent="0.4">
      <c r="B143" s="25"/>
      <c r="C143" s="23"/>
    </row>
    <row r="144" spans="2:3" ht="18.75" customHeight="1" x14ac:dyDescent="0.4">
      <c r="B144" s="25"/>
      <c r="C144" s="23"/>
    </row>
    <row r="145" spans="2:3" ht="18.75" customHeight="1" x14ac:dyDescent="0.4">
      <c r="B145" s="25"/>
      <c r="C145" s="23"/>
    </row>
    <row r="146" spans="2:3" ht="18.75" customHeight="1" x14ac:dyDescent="0.4">
      <c r="B146" s="25"/>
      <c r="C146" s="23"/>
    </row>
    <row r="147" spans="2:3" ht="18.75" customHeight="1" x14ac:dyDescent="0.4">
      <c r="B147" s="25"/>
      <c r="C147" s="23"/>
    </row>
    <row r="148" spans="2:3" ht="18.75" customHeight="1" x14ac:dyDescent="0.4">
      <c r="B148" s="25"/>
      <c r="C148" s="23"/>
    </row>
    <row r="149" spans="2:3" ht="18.75" customHeight="1" x14ac:dyDescent="0.4">
      <c r="B149" s="25"/>
      <c r="C149" s="23"/>
    </row>
    <row r="150" spans="2:3" ht="18.75" customHeight="1" x14ac:dyDescent="0.4">
      <c r="B150" s="25"/>
      <c r="C150" s="23"/>
    </row>
    <row r="151" spans="2:3" ht="18.75" customHeight="1" x14ac:dyDescent="0.4">
      <c r="B151" s="25"/>
      <c r="C151" s="23"/>
    </row>
    <row r="152" spans="2:3" ht="18.75" customHeight="1" x14ac:dyDescent="0.4">
      <c r="B152" s="25"/>
      <c r="C152" s="23"/>
    </row>
    <row r="153" spans="2:3" ht="18.75" customHeight="1" x14ac:dyDescent="0.4">
      <c r="B153" s="25"/>
      <c r="C153" s="23"/>
    </row>
    <row r="154" spans="2:3" ht="18.75" customHeight="1" x14ac:dyDescent="0.4">
      <c r="B154" s="25"/>
      <c r="C154" s="23"/>
    </row>
    <row r="155" spans="2:3" ht="18.75" customHeight="1" x14ac:dyDescent="0.4">
      <c r="B155" s="25"/>
      <c r="C155" s="23"/>
    </row>
    <row r="156" spans="2:3" ht="18.75" customHeight="1" x14ac:dyDescent="0.4">
      <c r="B156" s="25"/>
      <c r="C156" s="23"/>
    </row>
    <row r="157" spans="2:3" ht="18.75" customHeight="1" x14ac:dyDescent="0.4">
      <c r="B157" s="25"/>
      <c r="C157" s="23"/>
    </row>
    <row r="158" spans="2:3" ht="18.75" customHeight="1" x14ac:dyDescent="0.4">
      <c r="B158" s="25"/>
      <c r="C158" s="23"/>
    </row>
    <row r="159" spans="2:3" ht="18.75" customHeight="1" x14ac:dyDescent="0.4">
      <c r="B159" s="25"/>
      <c r="C159" s="23"/>
    </row>
    <row r="160" spans="2:3" ht="18.75" customHeight="1" x14ac:dyDescent="0.4">
      <c r="B160" s="25"/>
      <c r="C160" s="23"/>
    </row>
    <row r="161" spans="2:3" ht="18.75" customHeight="1" x14ac:dyDescent="0.4">
      <c r="B161" s="25"/>
      <c r="C161" s="23"/>
    </row>
    <row r="162" spans="2:3" ht="18.75" customHeight="1" x14ac:dyDescent="0.4">
      <c r="B162" s="25"/>
      <c r="C162" s="23"/>
    </row>
    <row r="163" spans="2:3" ht="18.75" customHeight="1" x14ac:dyDescent="0.4">
      <c r="B163" s="25"/>
      <c r="C163" s="23"/>
    </row>
    <row r="164" spans="2:3" ht="18.75" customHeight="1" x14ac:dyDescent="0.4">
      <c r="B164" s="25"/>
      <c r="C164" s="23"/>
    </row>
    <row r="165" spans="2:3" ht="18.75" customHeight="1" x14ac:dyDescent="0.4">
      <c r="B165" s="25"/>
      <c r="C165" s="23"/>
    </row>
    <row r="166" spans="2:3" ht="18.75" customHeight="1" x14ac:dyDescent="0.4">
      <c r="B166" s="25"/>
      <c r="C166" s="23"/>
    </row>
    <row r="167" spans="2:3" ht="18.75" customHeight="1" x14ac:dyDescent="0.4">
      <c r="B167" s="25"/>
      <c r="C167" s="23"/>
    </row>
    <row r="168" spans="2:3" ht="18.75" customHeight="1" x14ac:dyDescent="0.4">
      <c r="B168" s="25"/>
      <c r="C168" s="23"/>
    </row>
    <row r="169" spans="2:3" ht="18.75" customHeight="1" x14ac:dyDescent="0.4">
      <c r="B169" s="25"/>
      <c r="C169" s="23"/>
    </row>
    <row r="170" spans="2:3" ht="18.75" customHeight="1" x14ac:dyDescent="0.4">
      <c r="B170" s="25"/>
      <c r="C170" s="23"/>
    </row>
    <row r="171" spans="2:3" ht="18.75" customHeight="1" x14ac:dyDescent="0.4">
      <c r="B171" s="25"/>
      <c r="C171" s="23"/>
    </row>
    <row r="172" spans="2:3" ht="18.75" customHeight="1" x14ac:dyDescent="0.4">
      <c r="B172" s="25"/>
      <c r="C172" s="23"/>
    </row>
    <row r="173" spans="2:3" ht="18.75" customHeight="1" x14ac:dyDescent="0.4">
      <c r="B173" s="25"/>
      <c r="C173" s="23"/>
    </row>
    <row r="174" spans="2:3" ht="18.75" customHeight="1" x14ac:dyDescent="0.4">
      <c r="B174" s="25"/>
      <c r="C174" s="23"/>
    </row>
    <row r="175" spans="2:3" ht="18.75" customHeight="1" x14ac:dyDescent="0.4">
      <c r="B175" s="25"/>
      <c r="C175" s="23"/>
    </row>
    <row r="176" spans="2:3" ht="18.75" customHeight="1" x14ac:dyDescent="0.4">
      <c r="B176" s="25"/>
      <c r="C176" s="23"/>
    </row>
    <row r="177" spans="2:3" ht="18.75" customHeight="1" x14ac:dyDescent="0.4">
      <c r="B177" s="25"/>
      <c r="C177" s="23"/>
    </row>
    <row r="178" spans="2:3" ht="18.75" customHeight="1" x14ac:dyDescent="0.4">
      <c r="B178" s="25"/>
      <c r="C178" s="23"/>
    </row>
    <row r="179" spans="2:3" ht="18.75" customHeight="1" x14ac:dyDescent="0.4">
      <c r="B179" s="25"/>
      <c r="C179" s="23"/>
    </row>
    <row r="180" spans="2:3" ht="18.75" customHeight="1" x14ac:dyDescent="0.4">
      <c r="B180" s="25"/>
      <c r="C180" s="23"/>
    </row>
    <row r="181" spans="2:3" ht="18.75" customHeight="1" x14ac:dyDescent="0.4">
      <c r="B181" s="25"/>
      <c r="C181" s="23"/>
    </row>
    <row r="182" spans="2:3" ht="18.75" customHeight="1" x14ac:dyDescent="0.4">
      <c r="B182" s="25"/>
      <c r="C182" s="23"/>
    </row>
    <row r="183" spans="2:3" ht="18.75" customHeight="1" x14ac:dyDescent="0.4">
      <c r="B183" s="25"/>
      <c r="C183" s="23"/>
    </row>
    <row r="184" spans="2:3" ht="18.75" customHeight="1" x14ac:dyDescent="0.4">
      <c r="B184" s="25"/>
      <c r="C184" s="23"/>
    </row>
    <row r="185" spans="2:3" ht="18.75" customHeight="1" x14ac:dyDescent="0.4">
      <c r="B185" s="25"/>
      <c r="C185" s="23"/>
    </row>
    <row r="186" spans="2:3" ht="18.75" customHeight="1" x14ac:dyDescent="0.4">
      <c r="B186" s="25"/>
      <c r="C186" s="23"/>
    </row>
    <row r="187" spans="2:3" ht="18.75" customHeight="1" x14ac:dyDescent="0.4">
      <c r="B187" s="25"/>
      <c r="C187" s="23"/>
    </row>
    <row r="188" spans="2:3" ht="18.75" customHeight="1" x14ac:dyDescent="0.4">
      <c r="B188" s="25"/>
      <c r="C188" s="23"/>
    </row>
    <row r="189" spans="2:3" ht="18.75" customHeight="1" x14ac:dyDescent="0.4">
      <c r="B189" s="25"/>
      <c r="C189" s="23"/>
    </row>
    <row r="190" spans="2:3" ht="18.75" customHeight="1" x14ac:dyDescent="0.4">
      <c r="B190" s="25"/>
      <c r="C190" s="23"/>
    </row>
    <row r="191" spans="2:3" ht="18.75" customHeight="1" x14ac:dyDescent="0.4">
      <c r="B191" s="25"/>
      <c r="C191" s="23"/>
    </row>
    <row r="192" spans="2:3" ht="18.75" customHeight="1" x14ac:dyDescent="0.4">
      <c r="B192" s="25"/>
      <c r="C192" s="23"/>
    </row>
    <row r="193" spans="2:3" ht="18.75" customHeight="1" x14ac:dyDescent="0.4">
      <c r="B193" s="25"/>
      <c r="C193" s="23"/>
    </row>
    <row r="194" spans="2:3" ht="18.75" customHeight="1" x14ac:dyDescent="0.4">
      <c r="B194" s="25"/>
      <c r="C194" s="23"/>
    </row>
    <row r="195" spans="2:3" ht="18.75" customHeight="1" x14ac:dyDescent="0.4">
      <c r="B195" s="25"/>
      <c r="C195" s="23"/>
    </row>
    <row r="196" spans="2:3" ht="18.75" customHeight="1" x14ac:dyDescent="0.4">
      <c r="B196" s="25"/>
      <c r="C196" s="23"/>
    </row>
    <row r="197" spans="2:3" ht="18.75" customHeight="1" x14ac:dyDescent="0.4">
      <c r="B197" s="25"/>
      <c r="C197" s="23"/>
    </row>
    <row r="198" spans="2:3" ht="18.75" customHeight="1" x14ac:dyDescent="0.4">
      <c r="B198" s="25"/>
      <c r="C198" s="23"/>
    </row>
    <row r="199" spans="2:3" ht="18.75" customHeight="1" x14ac:dyDescent="0.4">
      <c r="B199" s="25"/>
      <c r="C199" s="23"/>
    </row>
    <row r="200" spans="2:3" ht="18.75" customHeight="1" x14ac:dyDescent="0.4">
      <c r="B200" s="25"/>
      <c r="C200" s="23"/>
    </row>
    <row r="201" spans="2:3" ht="18.75" customHeight="1" x14ac:dyDescent="0.4">
      <c r="B201" s="25"/>
      <c r="C201" s="23"/>
    </row>
    <row r="202" spans="2:3" ht="18.75" customHeight="1" x14ac:dyDescent="0.4">
      <c r="B202" s="25"/>
      <c r="C202" s="23"/>
    </row>
    <row r="203" spans="2:3" ht="18.75" customHeight="1" x14ac:dyDescent="0.4">
      <c r="B203" s="25"/>
      <c r="C203" s="23"/>
    </row>
    <row r="204" spans="2:3" ht="18.75" customHeight="1" x14ac:dyDescent="0.4">
      <c r="B204" s="25"/>
      <c r="C204" s="23"/>
    </row>
    <row r="205" spans="2:3" ht="18.75" customHeight="1" x14ac:dyDescent="0.4">
      <c r="B205" s="25"/>
      <c r="C205" s="23"/>
    </row>
    <row r="206" spans="2:3" ht="18.75" customHeight="1" x14ac:dyDescent="0.4">
      <c r="B206" s="25"/>
      <c r="C206" s="23"/>
    </row>
    <row r="207" spans="2:3" ht="18.75" customHeight="1" x14ac:dyDescent="0.4">
      <c r="B207" s="25"/>
      <c r="C207" s="23"/>
    </row>
    <row r="208" spans="2:3" ht="18.75" customHeight="1" x14ac:dyDescent="0.4">
      <c r="B208" s="25"/>
      <c r="C208" s="23"/>
    </row>
    <row r="209" spans="2:3" ht="18.75" customHeight="1" x14ac:dyDescent="0.4">
      <c r="B209" s="25"/>
      <c r="C209" s="23"/>
    </row>
    <row r="210" spans="2:3" ht="18.75" customHeight="1" x14ac:dyDescent="0.4">
      <c r="B210" s="25"/>
      <c r="C210" s="23"/>
    </row>
    <row r="211" spans="2:3" ht="18.75" customHeight="1" x14ac:dyDescent="0.4">
      <c r="B211" s="25"/>
      <c r="C211" s="23"/>
    </row>
    <row r="212" spans="2:3" ht="18.75" customHeight="1" x14ac:dyDescent="0.4">
      <c r="B212" s="25"/>
      <c r="C212" s="23"/>
    </row>
    <row r="213" spans="2:3" ht="18.75" customHeight="1" x14ac:dyDescent="0.4">
      <c r="B213" s="25"/>
      <c r="C213" s="23"/>
    </row>
    <row r="214" spans="2:3" ht="18.75" customHeight="1" x14ac:dyDescent="0.4">
      <c r="B214" s="25"/>
      <c r="C214" s="23"/>
    </row>
    <row r="215" spans="2:3" ht="18.75" customHeight="1" x14ac:dyDescent="0.4">
      <c r="B215" s="25"/>
      <c r="C215" s="23"/>
    </row>
    <row r="216" spans="2:3" ht="18.75" customHeight="1" x14ac:dyDescent="0.4">
      <c r="B216" s="25"/>
      <c r="C216" s="23"/>
    </row>
    <row r="217" spans="2:3" ht="18.75" customHeight="1" x14ac:dyDescent="0.4">
      <c r="B217" s="25"/>
      <c r="C217" s="23"/>
    </row>
    <row r="218" spans="2:3" ht="18.75" customHeight="1" x14ac:dyDescent="0.4">
      <c r="B218" s="25"/>
      <c r="C218" s="23"/>
    </row>
    <row r="219" spans="2:3" ht="18.75" customHeight="1" x14ac:dyDescent="0.4">
      <c r="B219" s="25"/>
      <c r="C219" s="23"/>
    </row>
    <row r="220" spans="2:3" ht="18.75" customHeight="1" x14ac:dyDescent="0.4">
      <c r="B220" s="25"/>
      <c r="C220" s="23"/>
    </row>
    <row r="221" spans="2:3" ht="18.75" customHeight="1" x14ac:dyDescent="0.4">
      <c r="B221" s="25"/>
      <c r="C221" s="23"/>
    </row>
    <row r="222" spans="2:3" ht="18.75" customHeight="1" x14ac:dyDescent="0.4">
      <c r="B222" s="25"/>
      <c r="C222" s="23"/>
    </row>
    <row r="223" spans="2:3" ht="18.75" customHeight="1" x14ac:dyDescent="0.4">
      <c r="B223" s="25"/>
      <c r="C223" s="23"/>
    </row>
    <row r="224" spans="2:3" ht="18.75" customHeight="1" x14ac:dyDescent="0.4">
      <c r="B224" s="25"/>
      <c r="C224" s="23"/>
    </row>
    <row r="225" spans="2:3" ht="18.75" customHeight="1" x14ac:dyDescent="0.4">
      <c r="B225" s="25"/>
      <c r="C225" s="23"/>
    </row>
    <row r="226" spans="2:3" ht="18.75" customHeight="1" x14ac:dyDescent="0.4">
      <c r="B226" s="25"/>
      <c r="C226" s="23"/>
    </row>
    <row r="227" spans="2:3" ht="18.75" customHeight="1" x14ac:dyDescent="0.4">
      <c r="B227" s="25"/>
      <c r="C227" s="23"/>
    </row>
    <row r="228" spans="2:3" ht="18.75" customHeight="1" x14ac:dyDescent="0.4">
      <c r="B228" s="25"/>
      <c r="C228" s="23"/>
    </row>
    <row r="229" spans="2:3" ht="18.75" customHeight="1" x14ac:dyDescent="0.4">
      <c r="B229" s="25"/>
      <c r="C229" s="23"/>
    </row>
    <row r="230" spans="2:3" ht="18.75" customHeight="1" x14ac:dyDescent="0.4">
      <c r="B230" s="25"/>
      <c r="C230" s="23"/>
    </row>
    <row r="231" spans="2:3" ht="18.75" customHeight="1" x14ac:dyDescent="0.4">
      <c r="B231" s="25"/>
      <c r="C231" s="23"/>
    </row>
    <row r="232" spans="2:3" ht="18.75" customHeight="1" x14ac:dyDescent="0.4">
      <c r="B232" s="25"/>
      <c r="C232" s="23"/>
    </row>
    <row r="233" spans="2:3" ht="18.75" customHeight="1" x14ac:dyDescent="0.4">
      <c r="B233" s="25"/>
      <c r="C233" s="23"/>
    </row>
    <row r="234" spans="2:3" ht="18.75" customHeight="1" x14ac:dyDescent="0.4">
      <c r="B234" s="25"/>
      <c r="C234" s="23"/>
    </row>
    <row r="235" spans="2:3" ht="18.75" customHeight="1" x14ac:dyDescent="0.4">
      <c r="B235" s="25"/>
      <c r="C235" s="23"/>
    </row>
    <row r="236" spans="2:3" ht="18.75" customHeight="1" x14ac:dyDescent="0.4">
      <c r="B236" s="25"/>
      <c r="C236" s="23"/>
    </row>
    <row r="237" spans="2:3" ht="18.75" customHeight="1" x14ac:dyDescent="0.4">
      <c r="B237" s="25"/>
      <c r="C237" s="23"/>
    </row>
    <row r="238" spans="2:3" ht="18.75" customHeight="1" x14ac:dyDescent="0.4">
      <c r="B238" s="25"/>
      <c r="C238" s="23"/>
    </row>
    <row r="239" spans="2:3" ht="18.75" customHeight="1" x14ac:dyDescent="0.4">
      <c r="B239" s="25"/>
      <c r="C239" s="23"/>
    </row>
    <row r="240" spans="2:3" ht="18.75" customHeight="1" x14ac:dyDescent="0.4">
      <c r="B240" s="25"/>
      <c r="C240" s="23"/>
    </row>
    <row r="241" spans="2:3" ht="18.75" customHeight="1" x14ac:dyDescent="0.4">
      <c r="B241" s="25"/>
      <c r="C241" s="23"/>
    </row>
    <row r="242" spans="2:3" ht="18.75" customHeight="1" x14ac:dyDescent="0.4">
      <c r="B242" s="25"/>
      <c r="C242" s="23"/>
    </row>
    <row r="243" spans="2:3" ht="18.75" customHeight="1" x14ac:dyDescent="0.4">
      <c r="B243" s="25"/>
      <c r="C243" s="23"/>
    </row>
    <row r="244" spans="2:3" ht="18.75" customHeight="1" x14ac:dyDescent="0.4">
      <c r="B244" s="25"/>
      <c r="C244" s="23"/>
    </row>
    <row r="245" spans="2:3" ht="18.75" customHeight="1" x14ac:dyDescent="0.4">
      <c r="B245" s="25"/>
      <c r="C245" s="23"/>
    </row>
    <row r="246" spans="2:3" ht="18.75" customHeight="1" x14ac:dyDescent="0.4">
      <c r="B246" s="25"/>
      <c r="C246" s="23"/>
    </row>
    <row r="247" spans="2:3" ht="18.75" customHeight="1" x14ac:dyDescent="0.4">
      <c r="B247" s="25"/>
      <c r="C247" s="23"/>
    </row>
    <row r="248" spans="2:3" ht="18.75" customHeight="1" x14ac:dyDescent="0.4">
      <c r="B248" s="25"/>
      <c r="C248" s="23"/>
    </row>
    <row r="249" spans="2:3" ht="18.75" customHeight="1" x14ac:dyDescent="0.4">
      <c r="B249" s="25"/>
      <c r="C249" s="23"/>
    </row>
    <row r="250" spans="2:3" ht="18.75" customHeight="1" x14ac:dyDescent="0.4">
      <c r="B250" s="25"/>
      <c r="C250" s="23"/>
    </row>
    <row r="251" spans="2:3" ht="18.75" customHeight="1" x14ac:dyDescent="0.4">
      <c r="B251" s="25"/>
      <c r="C251" s="23"/>
    </row>
    <row r="252" spans="2:3" ht="18.75" customHeight="1" x14ac:dyDescent="0.4">
      <c r="B252" s="25"/>
      <c r="C252" s="23"/>
    </row>
    <row r="253" spans="2:3" ht="18.75" customHeight="1" x14ac:dyDescent="0.4">
      <c r="B253" s="25"/>
      <c r="C253" s="23"/>
    </row>
    <row r="254" spans="2:3" ht="18.75" customHeight="1" x14ac:dyDescent="0.4">
      <c r="B254" s="25"/>
      <c r="C254" s="23"/>
    </row>
    <row r="255" spans="2:3" ht="18.75" customHeight="1" x14ac:dyDescent="0.4">
      <c r="B255" s="25"/>
      <c r="C255" s="23"/>
    </row>
    <row r="256" spans="2:3" ht="18.75" customHeight="1" x14ac:dyDescent="0.4">
      <c r="B256" s="25"/>
      <c r="C256" s="23"/>
    </row>
    <row r="257" spans="2:3" ht="18.75" customHeight="1" x14ac:dyDescent="0.4">
      <c r="B257" s="25"/>
      <c r="C257" s="23"/>
    </row>
    <row r="258" spans="2:3" ht="18.75" customHeight="1" x14ac:dyDescent="0.4">
      <c r="B258" s="25"/>
      <c r="C258" s="23"/>
    </row>
    <row r="259" spans="2:3" ht="18.75" customHeight="1" x14ac:dyDescent="0.4">
      <c r="B259" s="25"/>
      <c r="C259" s="23"/>
    </row>
    <row r="260" spans="2:3" ht="18.75" customHeight="1" x14ac:dyDescent="0.4">
      <c r="B260" s="25"/>
      <c r="C260" s="23"/>
    </row>
    <row r="261" spans="2:3" ht="18.75" customHeight="1" x14ac:dyDescent="0.4">
      <c r="B261" s="25"/>
      <c r="C261" s="23"/>
    </row>
    <row r="262" spans="2:3" ht="18.75" customHeight="1" x14ac:dyDescent="0.4">
      <c r="B262" s="25"/>
      <c r="C262" s="23"/>
    </row>
    <row r="263" spans="2:3" ht="18.75" customHeight="1" x14ac:dyDescent="0.4">
      <c r="B263" s="25"/>
      <c r="C263" s="23"/>
    </row>
    <row r="264" spans="2:3" ht="18.75" customHeight="1" x14ac:dyDescent="0.4">
      <c r="B264" s="25"/>
      <c r="C264" s="23"/>
    </row>
    <row r="265" spans="2:3" ht="18.75" customHeight="1" x14ac:dyDescent="0.4">
      <c r="B265" s="25"/>
      <c r="C265" s="23"/>
    </row>
    <row r="266" spans="2:3" ht="18.75" customHeight="1" x14ac:dyDescent="0.4">
      <c r="B266" s="25"/>
      <c r="C266" s="23"/>
    </row>
    <row r="267" spans="2:3" ht="18.75" customHeight="1" x14ac:dyDescent="0.4">
      <c r="B267" s="25"/>
      <c r="C267" s="23"/>
    </row>
    <row r="268" spans="2:3" ht="18.75" customHeight="1" x14ac:dyDescent="0.4">
      <c r="B268" s="25"/>
      <c r="C268" s="23"/>
    </row>
    <row r="269" spans="2:3" ht="18.75" customHeight="1" x14ac:dyDescent="0.4">
      <c r="B269" s="25"/>
      <c r="C269" s="23"/>
    </row>
    <row r="270" spans="2:3" ht="18.75" customHeight="1" x14ac:dyDescent="0.4">
      <c r="B270" s="25"/>
      <c r="C270" s="23"/>
    </row>
    <row r="271" spans="2:3" ht="18.75" customHeight="1" x14ac:dyDescent="0.4">
      <c r="B271" s="25"/>
      <c r="C271" s="23"/>
    </row>
    <row r="272" spans="2:3" ht="18.75" customHeight="1" x14ac:dyDescent="0.4">
      <c r="B272" s="25"/>
      <c r="C272" s="23"/>
    </row>
    <row r="273" spans="2:3" ht="18.75" customHeight="1" x14ac:dyDescent="0.4">
      <c r="B273" s="25"/>
      <c r="C273" s="23"/>
    </row>
    <row r="274" spans="2:3" ht="18.75" customHeight="1" x14ac:dyDescent="0.4">
      <c r="B274" s="25"/>
      <c r="C274" s="23"/>
    </row>
    <row r="275" spans="2:3" ht="18.75" customHeight="1" x14ac:dyDescent="0.4">
      <c r="B275" s="25"/>
      <c r="C275" s="23"/>
    </row>
    <row r="276" spans="2:3" ht="18.75" customHeight="1" x14ac:dyDescent="0.4">
      <c r="B276" s="25"/>
      <c r="C276" s="23"/>
    </row>
    <row r="277" spans="2:3" ht="18.75" customHeight="1" x14ac:dyDescent="0.4">
      <c r="B277" s="25"/>
      <c r="C277" s="23"/>
    </row>
    <row r="278" spans="2:3" ht="18.75" customHeight="1" x14ac:dyDescent="0.4">
      <c r="B278" s="25"/>
      <c r="C278" s="23"/>
    </row>
    <row r="279" spans="2:3" ht="18.75" customHeight="1" x14ac:dyDescent="0.4">
      <c r="B279" s="25"/>
      <c r="C279" s="23"/>
    </row>
    <row r="280" spans="2:3" ht="18.75" customHeight="1" x14ac:dyDescent="0.4">
      <c r="B280" s="25"/>
      <c r="C280" s="23"/>
    </row>
    <row r="281" spans="2:3" ht="18.75" customHeight="1" x14ac:dyDescent="0.4">
      <c r="B281" s="25"/>
      <c r="C281" s="23"/>
    </row>
    <row r="282" spans="2:3" ht="18.75" customHeight="1" x14ac:dyDescent="0.4">
      <c r="B282" s="25"/>
      <c r="C282" s="23"/>
    </row>
    <row r="283" spans="2:3" ht="18.75" customHeight="1" x14ac:dyDescent="0.4">
      <c r="B283" s="25"/>
      <c r="C283" s="23"/>
    </row>
    <row r="284" spans="2:3" ht="18.75" customHeight="1" x14ac:dyDescent="0.4">
      <c r="B284" s="25"/>
      <c r="C284" s="23"/>
    </row>
    <row r="285" spans="2:3" ht="18.75" customHeight="1" x14ac:dyDescent="0.4">
      <c r="B285" s="25"/>
      <c r="C285" s="23"/>
    </row>
    <row r="286" spans="2:3" ht="18.75" customHeight="1" x14ac:dyDescent="0.4">
      <c r="B286" s="25"/>
      <c r="C286" s="23"/>
    </row>
    <row r="287" spans="2:3" ht="18.75" customHeight="1" x14ac:dyDescent="0.4">
      <c r="B287" s="25"/>
      <c r="C287" s="23"/>
    </row>
    <row r="288" spans="2:3" ht="18.75" customHeight="1" x14ac:dyDescent="0.4">
      <c r="B288" s="25"/>
      <c r="C288" s="23"/>
    </row>
    <row r="289" spans="2:3" ht="18.75" customHeight="1" x14ac:dyDescent="0.4">
      <c r="B289" s="25"/>
      <c r="C289" s="23"/>
    </row>
    <row r="290" spans="2:3" ht="18.75" customHeight="1" x14ac:dyDescent="0.4">
      <c r="B290" s="25"/>
      <c r="C290" s="23"/>
    </row>
    <row r="291" spans="2:3" ht="18.75" customHeight="1" x14ac:dyDescent="0.4">
      <c r="B291" s="25"/>
      <c r="C291" s="23"/>
    </row>
    <row r="292" spans="2:3" ht="18.75" customHeight="1" x14ac:dyDescent="0.4">
      <c r="B292" s="25"/>
      <c r="C292" s="23"/>
    </row>
    <row r="293" spans="2:3" ht="18.75" customHeight="1" x14ac:dyDescent="0.4">
      <c r="B293" s="25"/>
      <c r="C293" s="23"/>
    </row>
    <row r="294" spans="2:3" ht="18.75" customHeight="1" x14ac:dyDescent="0.4">
      <c r="B294" s="25"/>
      <c r="C294" s="23"/>
    </row>
    <row r="295" spans="2:3" ht="18.75" customHeight="1" x14ac:dyDescent="0.4">
      <c r="B295" s="25"/>
      <c r="C295" s="23"/>
    </row>
    <row r="296" spans="2:3" ht="18.75" customHeight="1" x14ac:dyDescent="0.4">
      <c r="B296" s="25"/>
      <c r="C296" s="23"/>
    </row>
    <row r="297" spans="2:3" ht="18.75" customHeight="1" x14ac:dyDescent="0.4">
      <c r="B297" s="25"/>
      <c r="C297" s="23"/>
    </row>
    <row r="298" spans="2:3" ht="18.75" customHeight="1" x14ac:dyDescent="0.4">
      <c r="B298" s="25"/>
      <c r="C298" s="23"/>
    </row>
    <row r="299" spans="2:3" ht="18.75" customHeight="1" x14ac:dyDescent="0.4">
      <c r="B299" s="25"/>
      <c r="C299" s="23"/>
    </row>
    <row r="300" spans="2:3" ht="18.75" customHeight="1" x14ac:dyDescent="0.4">
      <c r="B300" s="25"/>
      <c r="C300" s="23"/>
    </row>
    <row r="301" spans="2:3" ht="18.75" customHeight="1" x14ac:dyDescent="0.4">
      <c r="B301" s="25"/>
      <c r="C301" s="23"/>
    </row>
    <row r="302" spans="2:3" ht="18.75" customHeight="1" x14ac:dyDescent="0.4">
      <c r="B302" s="25"/>
      <c r="C302" s="23"/>
    </row>
    <row r="303" spans="2:3" ht="18.75" customHeight="1" x14ac:dyDescent="0.4">
      <c r="B303" s="25"/>
      <c r="C303" s="23"/>
    </row>
    <row r="304" spans="2:3" ht="18.75" customHeight="1" x14ac:dyDescent="0.4">
      <c r="B304" s="25"/>
      <c r="C304" s="23"/>
    </row>
    <row r="305" spans="2:3" ht="18.75" customHeight="1" x14ac:dyDescent="0.4">
      <c r="B305" s="25"/>
      <c r="C305" s="23"/>
    </row>
    <row r="306" spans="2:3" ht="18.75" customHeight="1" x14ac:dyDescent="0.4">
      <c r="B306" s="25"/>
      <c r="C306" s="23"/>
    </row>
    <row r="307" spans="2:3" ht="18.75" customHeight="1" x14ac:dyDescent="0.4">
      <c r="B307" s="25"/>
      <c r="C307" s="23"/>
    </row>
    <row r="308" spans="2:3" ht="18.75" customHeight="1" x14ac:dyDescent="0.4">
      <c r="B308" s="25"/>
      <c r="C308" s="23"/>
    </row>
    <row r="309" spans="2:3" ht="18.75" customHeight="1" x14ac:dyDescent="0.4">
      <c r="B309" s="25"/>
      <c r="C309" s="23"/>
    </row>
    <row r="310" spans="2:3" ht="18.75" customHeight="1" x14ac:dyDescent="0.4">
      <c r="B310" s="25"/>
      <c r="C310" s="23"/>
    </row>
    <row r="311" spans="2:3" ht="18.75" customHeight="1" x14ac:dyDescent="0.4">
      <c r="B311" s="25"/>
      <c r="C311" s="23"/>
    </row>
    <row r="312" spans="2:3" ht="18.75" customHeight="1" x14ac:dyDescent="0.4">
      <c r="B312" s="25"/>
      <c r="C312" s="23"/>
    </row>
    <row r="313" spans="2:3" ht="18.75" customHeight="1" x14ac:dyDescent="0.4">
      <c r="B313" s="25"/>
      <c r="C313" s="23"/>
    </row>
    <row r="314" spans="2:3" ht="18.75" customHeight="1" x14ac:dyDescent="0.4">
      <c r="B314" s="25"/>
      <c r="C314" s="23"/>
    </row>
    <row r="315" spans="2:3" ht="18.75" customHeight="1" x14ac:dyDescent="0.4">
      <c r="B315" s="25"/>
      <c r="C315" s="23"/>
    </row>
    <row r="316" spans="2:3" ht="18.75" customHeight="1" x14ac:dyDescent="0.4">
      <c r="B316" s="25"/>
      <c r="C316" s="23"/>
    </row>
    <row r="317" spans="2:3" ht="18.75" customHeight="1" x14ac:dyDescent="0.4">
      <c r="B317" s="25"/>
      <c r="C317" s="23"/>
    </row>
    <row r="318" spans="2:3" ht="18.75" customHeight="1" x14ac:dyDescent="0.4">
      <c r="B318" s="25"/>
      <c r="C318" s="23"/>
    </row>
    <row r="319" spans="2:3" ht="18.75" customHeight="1" x14ac:dyDescent="0.4">
      <c r="B319" s="25"/>
      <c r="C319" s="23"/>
    </row>
    <row r="320" spans="2:3" ht="18.75" customHeight="1" x14ac:dyDescent="0.4">
      <c r="B320" s="25"/>
      <c r="C320" s="23"/>
    </row>
    <row r="321" spans="2:3" ht="18.75" customHeight="1" x14ac:dyDescent="0.4">
      <c r="B321" s="25"/>
      <c r="C321" s="23"/>
    </row>
    <row r="322" spans="2:3" ht="18.75" customHeight="1" x14ac:dyDescent="0.4">
      <c r="B322" s="25"/>
      <c r="C322" s="23"/>
    </row>
    <row r="323" spans="2:3" ht="18.75" customHeight="1" x14ac:dyDescent="0.4">
      <c r="B323" s="25"/>
      <c r="C323" s="23"/>
    </row>
    <row r="324" spans="2:3" ht="18.75" customHeight="1" x14ac:dyDescent="0.4">
      <c r="B324" s="25"/>
      <c r="C324" s="23"/>
    </row>
    <row r="325" spans="2:3" ht="18.75" customHeight="1" x14ac:dyDescent="0.4">
      <c r="B325" s="25"/>
      <c r="C325" s="23"/>
    </row>
    <row r="326" spans="2:3" ht="18.75" customHeight="1" x14ac:dyDescent="0.4">
      <c r="B326" s="25"/>
      <c r="C326" s="23"/>
    </row>
    <row r="327" spans="2:3" ht="18.75" customHeight="1" x14ac:dyDescent="0.4">
      <c r="B327" s="25"/>
      <c r="C327" s="23"/>
    </row>
    <row r="328" spans="2:3" ht="18.75" customHeight="1" x14ac:dyDescent="0.4">
      <c r="B328" s="25"/>
      <c r="C328" s="23"/>
    </row>
    <row r="329" spans="2:3" ht="18.75" customHeight="1" x14ac:dyDescent="0.4">
      <c r="B329" s="25"/>
      <c r="C329" s="23"/>
    </row>
    <row r="330" spans="2:3" ht="18.75" customHeight="1" x14ac:dyDescent="0.4">
      <c r="B330" s="25"/>
      <c r="C330" s="23"/>
    </row>
    <row r="331" spans="2:3" ht="18.75" customHeight="1" x14ac:dyDescent="0.4">
      <c r="B331" s="25"/>
      <c r="C331" s="23"/>
    </row>
    <row r="332" spans="2:3" ht="18.75" customHeight="1" x14ac:dyDescent="0.4">
      <c r="B332" s="25"/>
      <c r="C332" s="23"/>
    </row>
    <row r="333" spans="2:3" ht="18.75" customHeight="1" x14ac:dyDescent="0.4">
      <c r="B333" s="25"/>
      <c r="C333" s="23"/>
    </row>
    <row r="334" spans="2:3" ht="18.75" customHeight="1" x14ac:dyDescent="0.4">
      <c r="B334" s="25"/>
      <c r="C334" s="23"/>
    </row>
    <row r="335" spans="2:3" ht="18.75" customHeight="1" x14ac:dyDescent="0.4">
      <c r="B335" s="25"/>
      <c r="C335" s="23"/>
    </row>
    <row r="336" spans="2:3" ht="18.75" customHeight="1" x14ac:dyDescent="0.4">
      <c r="B336" s="25"/>
      <c r="C336" s="23"/>
    </row>
    <row r="337" spans="2:3" ht="18.75" customHeight="1" x14ac:dyDescent="0.4">
      <c r="B337" s="25"/>
      <c r="C337" s="23"/>
    </row>
    <row r="338" spans="2:3" ht="18.75" customHeight="1" x14ac:dyDescent="0.4">
      <c r="B338" s="25"/>
      <c r="C338" s="23"/>
    </row>
    <row r="339" spans="2:3" ht="18.75" customHeight="1" x14ac:dyDescent="0.4">
      <c r="B339" s="25"/>
      <c r="C339" s="23"/>
    </row>
    <row r="340" spans="2:3" ht="18.75" customHeight="1" x14ac:dyDescent="0.4">
      <c r="B340" s="25"/>
      <c r="C340" s="23"/>
    </row>
    <row r="341" spans="2:3" ht="18.75" customHeight="1" x14ac:dyDescent="0.4">
      <c r="B341" s="25"/>
      <c r="C341" s="23"/>
    </row>
    <row r="342" spans="2:3" ht="18.75" customHeight="1" x14ac:dyDescent="0.4">
      <c r="B342" s="25"/>
      <c r="C342" s="23"/>
    </row>
    <row r="343" spans="2:3" ht="18.75" customHeight="1" x14ac:dyDescent="0.4">
      <c r="B343" s="25"/>
      <c r="C343" s="23"/>
    </row>
    <row r="344" spans="2:3" ht="18.75" customHeight="1" x14ac:dyDescent="0.4">
      <c r="B344" s="25"/>
      <c r="C344" s="23"/>
    </row>
    <row r="345" spans="2:3" ht="18.75" customHeight="1" x14ac:dyDescent="0.4">
      <c r="B345" s="25"/>
      <c r="C345" s="23"/>
    </row>
    <row r="346" spans="2:3" ht="18.75" customHeight="1" x14ac:dyDescent="0.4">
      <c r="B346" s="25"/>
      <c r="C346" s="23"/>
    </row>
    <row r="347" spans="2:3" ht="18.75" customHeight="1" x14ac:dyDescent="0.4">
      <c r="B347" s="25"/>
      <c r="C347" s="23"/>
    </row>
    <row r="348" spans="2:3" ht="18.75" customHeight="1" x14ac:dyDescent="0.4">
      <c r="B348" s="25"/>
      <c r="C348" s="23"/>
    </row>
    <row r="349" spans="2:3" ht="18.75" customHeight="1" x14ac:dyDescent="0.4">
      <c r="B349" s="25"/>
      <c r="C349" s="23"/>
    </row>
    <row r="350" spans="2:3" ht="18.75" customHeight="1" x14ac:dyDescent="0.4">
      <c r="B350" s="25"/>
      <c r="C350" s="23"/>
    </row>
    <row r="351" spans="2:3" ht="18.75" customHeight="1" x14ac:dyDescent="0.4">
      <c r="B351" s="25"/>
      <c r="C351" s="23"/>
    </row>
    <row r="352" spans="2:3" ht="18.75" customHeight="1" x14ac:dyDescent="0.4">
      <c r="B352" s="25"/>
      <c r="C352" s="23"/>
    </row>
    <row r="353" spans="2:3" ht="18.75" customHeight="1" x14ac:dyDescent="0.4">
      <c r="B353" s="25"/>
      <c r="C353" s="23"/>
    </row>
    <row r="354" spans="2:3" ht="18.75" customHeight="1" x14ac:dyDescent="0.4">
      <c r="B354" s="25"/>
      <c r="C354" s="23"/>
    </row>
    <row r="355" spans="2:3" ht="18.75" customHeight="1" x14ac:dyDescent="0.4">
      <c r="B355" s="25"/>
      <c r="C355" s="23"/>
    </row>
    <row r="356" spans="2:3" ht="18.75" customHeight="1" x14ac:dyDescent="0.4">
      <c r="B356" s="25"/>
      <c r="C356" s="23"/>
    </row>
    <row r="357" spans="2:3" ht="18.75" customHeight="1" x14ac:dyDescent="0.4">
      <c r="B357" s="25"/>
      <c r="C357" s="23"/>
    </row>
    <row r="358" spans="2:3" ht="18.75" customHeight="1" x14ac:dyDescent="0.4">
      <c r="B358" s="25"/>
      <c r="C358" s="23"/>
    </row>
    <row r="359" spans="2:3" ht="18.75" customHeight="1" x14ac:dyDescent="0.4">
      <c r="B359" s="25"/>
      <c r="C359" s="23"/>
    </row>
    <row r="360" spans="2:3" ht="18.75" customHeight="1" x14ac:dyDescent="0.4">
      <c r="B360" s="25"/>
      <c r="C360" s="23"/>
    </row>
    <row r="361" spans="2:3" ht="18.75" customHeight="1" x14ac:dyDescent="0.4">
      <c r="B361" s="25"/>
      <c r="C361" s="23"/>
    </row>
    <row r="362" spans="2:3" ht="18.75" customHeight="1" x14ac:dyDescent="0.4">
      <c r="B362" s="25"/>
      <c r="C362" s="23"/>
    </row>
    <row r="363" spans="2:3" ht="18.75" customHeight="1" x14ac:dyDescent="0.4">
      <c r="B363" s="25"/>
      <c r="C363" s="23"/>
    </row>
    <row r="364" spans="2:3" ht="18.75" customHeight="1" x14ac:dyDescent="0.4">
      <c r="B364" s="25"/>
      <c r="C364" s="23"/>
    </row>
    <row r="365" spans="2:3" ht="18.75" customHeight="1" x14ac:dyDescent="0.4">
      <c r="B365" s="25"/>
      <c r="C365" s="23"/>
    </row>
    <row r="366" spans="2:3" ht="18.75" customHeight="1" x14ac:dyDescent="0.4">
      <c r="B366" s="25"/>
      <c r="C366" s="23"/>
    </row>
    <row r="367" spans="2:3" ht="18.75" customHeight="1" x14ac:dyDescent="0.4">
      <c r="B367" s="25"/>
      <c r="C367" s="23"/>
    </row>
    <row r="368" spans="2:3" ht="18.75" customHeight="1" x14ac:dyDescent="0.4">
      <c r="B368" s="25"/>
      <c r="C368" s="23"/>
    </row>
    <row r="369" spans="2:3" ht="18.75" customHeight="1" x14ac:dyDescent="0.4">
      <c r="B369" s="25"/>
      <c r="C369" s="23"/>
    </row>
    <row r="370" spans="2:3" ht="18.75" customHeight="1" x14ac:dyDescent="0.4">
      <c r="B370" s="25"/>
      <c r="C370" s="23"/>
    </row>
    <row r="371" spans="2:3" ht="18.75" customHeight="1" x14ac:dyDescent="0.4">
      <c r="B371" s="25"/>
      <c r="C371" s="23"/>
    </row>
    <row r="372" spans="2:3" ht="18.75" customHeight="1" x14ac:dyDescent="0.4">
      <c r="B372" s="25"/>
      <c r="C372" s="23"/>
    </row>
    <row r="373" spans="2:3" ht="18.75" customHeight="1" x14ac:dyDescent="0.4">
      <c r="B373" s="25"/>
      <c r="C373" s="23"/>
    </row>
    <row r="374" spans="2:3" ht="18.75" customHeight="1" x14ac:dyDescent="0.4">
      <c r="B374" s="25"/>
      <c r="C374" s="23"/>
    </row>
    <row r="375" spans="2:3" ht="18.75" customHeight="1" x14ac:dyDescent="0.4">
      <c r="B375" s="25"/>
      <c r="C375" s="23"/>
    </row>
    <row r="376" spans="2:3" ht="18.75" customHeight="1" x14ac:dyDescent="0.4">
      <c r="B376" s="25"/>
      <c r="C376" s="23"/>
    </row>
    <row r="377" spans="2:3" ht="18.75" customHeight="1" x14ac:dyDescent="0.4">
      <c r="B377" s="25"/>
      <c r="C377" s="23"/>
    </row>
    <row r="378" spans="2:3" ht="18.75" customHeight="1" x14ac:dyDescent="0.4">
      <c r="B378" s="25"/>
      <c r="C378" s="23"/>
    </row>
    <row r="379" spans="2:3" ht="18.75" customHeight="1" x14ac:dyDescent="0.4">
      <c r="B379" s="25"/>
      <c r="C379" s="23"/>
    </row>
    <row r="380" spans="2:3" ht="18.75" customHeight="1" x14ac:dyDescent="0.4">
      <c r="B380" s="25"/>
      <c r="C380" s="23"/>
    </row>
    <row r="381" spans="2:3" ht="18.75" customHeight="1" x14ac:dyDescent="0.4">
      <c r="B381" s="25"/>
      <c r="C381" s="23"/>
    </row>
    <row r="382" spans="2:3" ht="18.75" customHeight="1" x14ac:dyDescent="0.4">
      <c r="B382" s="25"/>
      <c r="C382" s="23"/>
    </row>
    <row r="383" spans="2:3" ht="18.75" customHeight="1" x14ac:dyDescent="0.4">
      <c r="B383" s="25"/>
      <c r="C383" s="23"/>
    </row>
    <row r="384" spans="2:3" ht="18.75" customHeight="1" x14ac:dyDescent="0.4">
      <c r="B384" s="25"/>
      <c r="C384" s="23"/>
    </row>
    <row r="385" spans="2:3" ht="18.75" customHeight="1" x14ac:dyDescent="0.4">
      <c r="B385" s="25"/>
      <c r="C385" s="23"/>
    </row>
    <row r="386" spans="2:3" ht="18.75" customHeight="1" x14ac:dyDescent="0.4">
      <c r="B386" s="25"/>
      <c r="C386" s="23"/>
    </row>
    <row r="387" spans="2:3" ht="18.75" customHeight="1" x14ac:dyDescent="0.4">
      <c r="B387" s="25"/>
      <c r="C387" s="23"/>
    </row>
    <row r="388" spans="2:3" ht="18.75" customHeight="1" x14ac:dyDescent="0.4">
      <c r="B388" s="25"/>
      <c r="C388" s="23"/>
    </row>
    <row r="389" spans="2:3" ht="18.75" customHeight="1" x14ac:dyDescent="0.4">
      <c r="B389" s="25"/>
      <c r="C389" s="23"/>
    </row>
    <row r="390" spans="2:3" ht="18.75" customHeight="1" x14ac:dyDescent="0.4">
      <c r="B390" s="25"/>
      <c r="C390" s="23"/>
    </row>
    <row r="391" spans="2:3" ht="18.75" customHeight="1" x14ac:dyDescent="0.4">
      <c r="B391" s="25"/>
      <c r="C391" s="23"/>
    </row>
    <row r="392" spans="2:3" ht="18.75" customHeight="1" x14ac:dyDescent="0.4">
      <c r="B392" s="25"/>
      <c r="C392" s="23"/>
    </row>
    <row r="393" spans="2:3" ht="18.75" customHeight="1" x14ac:dyDescent="0.4">
      <c r="B393" s="25"/>
      <c r="C393" s="23"/>
    </row>
    <row r="394" spans="2:3" ht="18.75" customHeight="1" x14ac:dyDescent="0.4">
      <c r="B394" s="25"/>
      <c r="C394" s="23"/>
    </row>
    <row r="395" spans="2:3" ht="18.75" customHeight="1" x14ac:dyDescent="0.4">
      <c r="B395" s="25"/>
      <c r="C395" s="23"/>
    </row>
    <row r="396" spans="2:3" ht="18.75" customHeight="1" x14ac:dyDescent="0.4">
      <c r="B396" s="25"/>
      <c r="C396" s="23"/>
    </row>
    <row r="397" spans="2:3" ht="18.75" customHeight="1" x14ac:dyDescent="0.4">
      <c r="B397" s="25"/>
      <c r="C397" s="23"/>
    </row>
    <row r="398" spans="2:3" ht="18.75" customHeight="1" x14ac:dyDescent="0.4">
      <c r="B398" s="25"/>
      <c r="C398" s="23"/>
    </row>
    <row r="399" spans="2:3" ht="18.75" customHeight="1" x14ac:dyDescent="0.4">
      <c r="B399" s="25"/>
      <c r="C399" s="23"/>
    </row>
    <row r="400" spans="2:3" ht="18.75" customHeight="1" x14ac:dyDescent="0.4">
      <c r="B400" s="25"/>
      <c r="C400" s="23"/>
    </row>
    <row r="401" spans="2:3" ht="18.75" customHeight="1" x14ac:dyDescent="0.4">
      <c r="B401" s="25"/>
      <c r="C401" s="23"/>
    </row>
    <row r="402" spans="2:3" ht="18.75" customHeight="1" x14ac:dyDescent="0.4">
      <c r="B402" s="25"/>
      <c r="C402" s="23"/>
    </row>
    <row r="403" spans="2:3" ht="18.75" customHeight="1" x14ac:dyDescent="0.4">
      <c r="B403" s="25"/>
      <c r="C403" s="23"/>
    </row>
    <row r="404" spans="2:3" ht="18.75" customHeight="1" x14ac:dyDescent="0.4">
      <c r="B404" s="25"/>
      <c r="C404" s="23"/>
    </row>
    <row r="405" spans="2:3" ht="18.75" customHeight="1" x14ac:dyDescent="0.4">
      <c r="B405" s="25"/>
      <c r="C405" s="23"/>
    </row>
    <row r="406" spans="2:3" ht="18.75" customHeight="1" x14ac:dyDescent="0.4">
      <c r="B406" s="25"/>
      <c r="C406" s="23"/>
    </row>
    <row r="407" spans="2:3" ht="18.75" customHeight="1" x14ac:dyDescent="0.4">
      <c r="B407" s="25"/>
      <c r="C407" s="23"/>
    </row>
    <row r="408" spans="2:3" ht="18.75" customHeight="1" x14ac:dyDescent="0.4">
      <c r="B408" s="25"/>
      <c r="C408" s="23"/>
    </row>
    <row r="409" spans="2:3" ht="18.75" customHeight="1" x14ac:dyDescent="0.4">
      <c r="B409" s="25"/>
      <c r="C409" s="23"/>
    </row>
    <row r="410" spans="2:3" ht="18.75" customHeight="1" x14ac:dyDescent="0.4">
      <c r="B410" s="25"/>
      <c r="C410" s="23"/>
    </row>
    <row r="411" spans="2:3" ht="18.75" customHeight="1" x14ac:dyDescent="0.4">
      <c r="B411" s="25"/>
      <c r="C411" s="23"/>
    </row>
    <row r="412" spans="2:3" ht="18.75" customHeight="1" x14ac:dyDescent="0.4">
      <c r="B412" s="25"/>
      <c r="C412" s="23"/>
    </row>
    <row r="413" spans="2:3" ht="18.75" customHeight="1" x14ac:dyDescent="0.4">
      <c r="B413" s="25"/>
      <c r="C413" s="23"/>
    </row>
    <row r="414" spans="2:3" ht="18.75" customHeight="1" x14ac:dyDescent="0.4">
      <c r="B414" s="25"/>
      <c r="C414" s="23"/>
    </row>
    <row r="415" spans="2:3" ht="18.75" customHeight="1" x14ac:dyDescent="0.4">
      <c r="B415" s="25"/>
      <c r="C415" s="23"/>
    </row>
    <row r="416" spans="2:3" ht="18.75" customHeight="1" x14ac:dyDescent="0.4">
      <c r="B416" s="25"/>
      <c r="C416" s="23"/>
    </row>
    <row r="417" spans="2:3" ht="18.75" customHeight="1" x14ac:dyDescent="0.4">
      <c r="B417" s="25"/>
      <c r="C417" s="23"/>
    </row>
    <row r="418" spans="2:3" ht="18.75" customHeight="1" x14ac:dyDescent="0.4">
      <c r="B418" s="25"/>
      <c r="C418" s="23"/>
    </row>
    <row r="419" spans="2:3" ht="18.75" customHeight="1" x14ac:dyDescent="0.4">
      <c r="B419" s="25"/>
      <c r="C419" s="23"/>
    </row>
    <row r="420" spans="2:3" ht="18.75" customHeight="1" x14ac:dyDescent="0.4">
      <c r="B420" s="25"/>
      <c r="C420" s="23"/>
    </row>
    <row r="421" spans="2:3" ht="18.75" customHeight="1" x14ac:dyDescent="0.4">
      <c r="B421" s="25"/>
      <c r="C421" s="23"/>
    </row>
    <row r="422" spans="2:3" ht="18.75" customHeight="1" x14ac:dyDescent="0.4">
      <c r="B422" s="25"/>
      <c r="C422" s="23"/>
    </row>
    <row r="423" spans="2:3" ht="18.75" customHeight="1" x14ac:dyDescent="0.4">
      <c r="B423" s="25"/>
      <c r="C423" s="23"/>
    </row>
    <row r="424" spans="2:3" ht="18.75" customHeight="1" x14ac:dyDescent="0.4">
      <c r="B424" s="25"/>
      <c r="C424" s="23"/>
    </row>
    <row r="425" spans="2:3" ht="18.75" customHeight="1" x14ac:dyDescent="0.4">
      <c r="B425" s="25"/>
      <c r="C425" s="23"/>
    </row>
    <row r="426" spans="2:3" ht="18.75" customHeight="1" x14ac:dyDescent="0.4">
      <c r="B426" s="25"/>
      <c r="C426" s="23"/>
    </row>
    <row r="427" spans="2:3" ht="18.75" customHeight="1" x14ac:dyDescent="0.4">
      <c r="B427" s="25"/>
      <c r="C427" s="23"/>
    </row>
    <row r="428" spans="2:3" ht="18.75" customHeight="1" x14ac:dyDescent="0.4">
      <c r="B428" s="25"/>
      <c r="C428" s="23"/>
    </row>
    <row r="429" spans="2:3" ht="18.75" customHeight="1" x14ac:dyDescent="0.4">
      <c r="B429" s="25"/>
      <c r="C429" s="23"/>
    </row>
    <row r="430" spans="2:3" ht="18.75" customHeight="1" x14ac:dyDescent="0.4">
      <c r="B430" s="25"/>
      <c r="C430" s="23"/>
    </row>
    <row r="431" spans="2:3" ht="18.75" customHeight="1" x14ac:dyDescent="0.4">
      <c r="B431" s="25"/>
      <c r="C431" s="23"/>
    </row>
    <row r="432" spans="2:3" ht="18.75" customHeight="1" x14ac:dyDescent="0.4">
      <c r="B432" s="25"/>
      <c r="C432" s="23"/>
    </row>
    <row r="433" spans="2:3" ht="18.75" customHeight="1" x14ac:dyDescent="0.4">
      <c r="B433" s="25"/>
      <c r="C433" s="23"/>
    </row>
    <row r="434" spans="2:3" ht="18.75" customHeight="1" x14ac:dyDescent="0.4">
      <c r="B434" s="25"/>
      <c r="C434" s="23"/>
    </row>
    <row r="435" spans="2:3" ht="18.75" customHeight="1" x14ac:dyDescent="0.4">
      <c r="B435" s="25"/>
      <c r="C435" s="23"/>
    </row>
    <row r="436" spans="2:3" ht="18.75" customHeight="1" x14ac:dyDescent="0.4">
      <c r="B436" s="25"/>
      <c r="C436" s="23"/>
    </row>
    <row r="437" spans="2:3" ht="18.75" customHeight="1" x14ac:dyDescent="0.4">
      <c r="B437" s="25"/>
      <c r="C437" s="23"/>
    </row>
    <row r="438" spans="2:3" ht="18.75" customHeight="1" x14ac:dyDescent="0.4">
      <c r="B438" s="25"/>
      <c r="C438" s="23"/>
    </row>
    <row r="439" spans="2:3" ht="18.75" customHeight="1" x14ac:dyDescent="0.4">
      <c r="B439" s="25"/>
      <c r="C439" s="23"/>
    </row>
    <row r="440" spans="2:3" ht="18.75" customHeight="1" x14ac:dyDescent="0.4">
      <c r="B440" s="25"/>
      <c r="C440" s="23"/>
    </row>
    <row r="441" spans="2:3" ht="18.75" customHeight="1" x14ac:dyDescent="0.4">
      <c r="B441" s="25"/>
      <c r="C441" s="23"/>
    </row>
    <row r="442" spans="2:3" ht="18.75" customHeight="1" x14ac:dyDescent="0.4">
      <c r="B442" s="25"/>
      <c r="C442" s="23"/>
    </row>
    <row r="443" spans="2:3" ht="18.75" customHeight="1" x14ac:dyDescent="0.4">
      <c r="B443" s="25"/>
      <c r="C443" s="23"/>
    </row>
    <row r="444" spans="2:3" ht="18.75" customHeight="1" x14ac:dyDescent="0.4">
      <c r="B444" s="25"/>
      <c r="C444" s="23"/>
    </row>
    <row r="445" spans="2:3" ht="18.75" customHeight="1" x14ac:dyDescent="0.4">
      <c r="B445" s="25"/>
      <c r="C445" s="23"/>
    </row>
    <row r="446" spans="2:3" ht="18.75" customHeight="1" x14ac:dyDescent="0.4">
      <c r="B446" s="25"/>
      <c r="C446" s="23"/>
    </row>
    <row r="447" spans="2:3" ht="18.75" customHeight="1" x14ac:dyDescent="0.4">
      <c r="B447" s="25"/>
      <c r="C447" s="23"/>
    </row>
    <row r="448" spans="2:3" ht="18.75" customHeight="1" x14ac:dyDescent="0.4">
      <c r="B448" s="25"/>
      <c r="C448" s="23"/>
    </row>
    <row r="449" spans="2:3" ht="18.75" customHeight="1" x14ac:dyDescent="0.4">
      <c r="B449" s="25"/>
      <c r="C449" s="23"/>
    </row>
    <row r="450" spans="2:3" ht="18.75" customHeight="1" x14ac:dyDescent="0.4">
      <c r="B450" s="25"/>
      <c r="C450" s="23"/>
    </row>
    <row r="451" spans="2:3" ht="18.75" customHeight="1" x14ac:dyDescent="0.4">
      <c r="B451" s="25"/>
      <c r="C451" s="23"/>
    </row>
    <row r="452" spans="2:3" ht="18.75" customHeight="1" x14ac:dyDescent="0.4">
      <c r="B452" s="25"/>
      <c r="C452" s="23"/>
    </row>
    <row r="453" spans="2:3" ht="18.75" customHeight="1" x14ac:dyDescent="0.4">
      <c r="B453" s="25"/>
      <c r="C453" s="23"/>
    </row>
    <row r="454" spans="2:3" ht="18.75" customHeight="1" x14ac:dyDescent="0.4">
      <c r="B454" s="25"/>
      <c r="C454" s="23"/>
    </row>
    <row r="455" spans="2:3" ht="18.75" customHeight="1" x14ac:dyDescent="0.4">
      <c r="B455" s="25"/>
      <c r="C455" s="23"/>
    </row>
    <row r="456" spans="2:3" ht="18.75" customHeight="1" x14ac:dyDescent="0.4">
      <c r="B456" s="25"/>
      <c r="C456" s="23"/>
    </row>
    <row r="457" spans="2:3" ht="18.75" customHeight="1" x14ac:dyDescent="0.4">
      <c r="B457" s="25"/>
      <c r="C457" s="23"/>
    </row>
    <row r="458" spans="2:3" ht="18.75" customHeight="1" x14ac:dyDescent="0.4">
      <c r="B458" s="25"/>
      <c r="C458" s="23"/>
    </row>
    <row r="459" spans="2:3" ht="18.75" customHeight="1" x14ac:dyDescent="0.4">
      <c r="B459" s="25"/>
      <c r="C459" s="23"/>
    </row>
    <row r="460" spans="2:3" ht="18.75" customHeight="1" x14ac:dyDescent="0.4">
      <c r="B460" s="25"/>
      <c r="C460" s="23"/>
    </row>
    <row r="461" spans="2:3" ht="18.75" customHeight="1" x14ac:dyDescent="0.4">
      <c r="B461" s="25"/>
      <c r="C461" s="23"/>
    </row>
    <row r="462" spans="2:3" ht="18.75" customHeight="1" x14ac:dyDescent="0.4">
      <c r="B462" s="25"/>
      <c r="C462" s="23"/>
    </row>
    <row r="463" spans="2:3" ht="18.75" customHeight="1" x14ac:dyDescent="0.4">
      <c r="B463" s="25"/>
      <c r="C463" s="23"/>
    </row>
    <row r="464" spans="2:3" ht="18.75" customHeight="1" x14ac:dyDescent="0.4">
      <c r="B464" s="25"/>
      <c r="C464" s="23"/>
    </row>
    <row r="465" spans="2:3" ht="18.75" customHeight="1" x14ac:dyDescent="0.4">
      <c r="B465" s="25"/>
      <c r="C465" s="23"/>
    </row>
    <row r="466" spans="2:3" ht="18.75" customHeight="1" x14ac:dyDescent="0.4">
      <c r="B466" s="25"/>
      <c r="C466" s="23"/>
    </row>
    <row r="467" spans="2:3" ht="18.75" customHeight="1" x14ac:dyDescent="0.4">
      <c r="B467" s="25"/>
      <c r="C467" s="23"/>
    </row>
    <row r="468" spans="2:3" ht="18.75" customHeight="1" x14ac:dyDescent="0.4">
      <c r="B468" s="25"/>
      <c r="C468" s="23"/>
    </row>
    <row r="469" spans="2:3" ht="18.75" customHeight="1" x14ac:dyDescent="0.4">
      <c r="B469" s="25"/>
      <c r="C469" s="23"/>
    </row>
    <row r="470" spans="2:3" ht="18.75" customHeight="1" x14ac:dyDescent="0.4">
      <c r="B470" s="25"/>
      <c r="C470" s="23"/>
    </row>
    <row r="471" spans="2:3" ht="18.75" customHeight="1" x14ac:dyDescent="0.4">
      <c r="B471" s="25"/>
      <c r="C471" s="23"/>
    </row>
    <row r="472" spans="2:3" ht="18.75" customHeight="1" x14ac:dyDescent="0.4">
      <c r="B472" s="25"/>
      <c r="C472" s="23"/>
    </row>
    <row r="473" spans="2:3" ht="18.75" customHeight="1" x14ac:dyDescent="0.4">
      <c r="B473" s="25"/>
      <c r="C473" s="23"/>
    </row>
    <row r="474" spans="2:3" ht="18.75" customHeight="1" x14ac:dyDescent="0.4">
      <c r="B474" s="25"/>
      <c r="C474" s="23"/>
    </row>
    <row r="475" spans="2:3" ht="18.75" customHeight="1" x14ac:dyDescent="0.4">
      <c r="B475" s="25"/>
      <c r="C475" s="23"/>
    </row>
    <row r="476" spans="2:3" ht="18.75" customHeight="1" x14ac:dyDescent="0.4">
      <c r="B476" s="25"/>
      <c r="C476" s="23"/>
    </row>
    <row r="477" spans="2:3" ht="18.75" customHeight="1" x14ac:dyDescent="0.4">
      <c r="B477" s="25"/>
      <c r="C477" s="23"/>
    </row>
    <row r="478" spans="2:3" ht="18.75" customHeight="1" x14ac:dyDescent="0.4">
      <c r="B478" s="25"/>
      <c r="C478" s="23"/>
    </row>
    <row r="479" spans="2:3" ht="18.75" customHeight="1" x14ac:dyDescent="0.4">
      <c r="B479" s="25"/>
      <c r="C479" s="23"/>
    </row>
    <row r="480" spans="2:3" ht="18.75" customHeight="1" x14ac:dyDescent="0.4">
      <c r="B480" s="25"/>
      <c r="C480" s="23"/>
    </row>
    <row r="481" spans="2:3" ht="18.75" customHeight="1" x14ac:dyDescent="0.4">
      <c r="B481" s="25"/>
      <c r="C481" s="23"/>
    </row>
    <row r="482" spans="2:3" ht="18.75" customHeight="1" x14ac:dyDescent="0.4">
      <c r="B482" s="25"/>
      <c r="C482" s="23"/>
    </row>
    <row r="483" spans="2:3" ht="18.75" customHeight="1" x14ac:dyDescent="0.4">
      <c r="B483" s="25"/>
      <c r="C483" s="23"/>
    </row>
    <row r="484" spans="2:3" ht="18.75" customHeight="1" x14ac:dyDescent="0.4">
      <c r="B484" s="25"/>
      <c r="C484" s="23"/>
    </row>
    <row r="485" spans="2:3" ht="18.75" customHeight="1" x14ac:dyDescent="0.4">
      <c r="B485" s="25"/>
      <c r="C485" s="23"/>
    </row>
    <row r="486" spans="2:3" ht="18.75" customHeight="1" x14ac:dyDescent="0.4">
      <c r="B486" s="25"/>
      <c r="C486" s="23"/>
    </row>
    <row r="487" spans="2:3" ht="18.75" customHeight="1" x14ac:dyDescent="0.4">
      <c r="B487" s="25"/>
      <c r="C487" s="23"/>
    </row>
    <row r="488" spans="2:3" ht="18.75" customHeight="1" x14ac:dyDescent="0.4">
      <c r="B488" s="25"/>
      <c r="C488" s="23"/>
    </row>
    <row r="489" spans="2:3" ht="18.75" customHeight="1" x14ac:dyDescent="0.4">
      <c r="B489" s="25"/>
      <c r="C489" s="23"/>
    </row>
    <row r="490" spans="2:3" ht="18.75" customHeight="1" x14ac:dyDescent="0.4">
      <c r="B490" s="25"/>
      <c r="C490" s="23"/>
    </row>
    <row r="491" spans="2:3" ht="18.75" customHeight="1" x14ac:dyDescent="0.4">
      <c r="B491" s="25"/>
      <c r="C491" s="23"/>
    </row>
    <row r="492" spans="2:3" ht="18.75" customHeight="1" x14ac:dyDescent="0.4">
      <c r="B492" s="25"/>
      <c r="C492" s="23"/>
    </row>
    <row r="493" spans="2:3" ht="18.75" customHeight="1" x14ac:dyDescent="0.4">
      <c r="B493" s="25"/>
      <c r="C493" s="23"/>
    </row>
    <row r="494" spans="2:3" ht="18.75" customHeight="1" x14ac:dyDescent="0.4">
      <c r="B494" s="25"/>
      <c r="C494" s="23"/>
    </row>
    <row r="495" spans="2:3" ht="18.75" customHeight="1" x14ac:dyDescent="0.4">
      <c r="B495" s="25"/>
      <c r="C495" s="23"/>
    </row>
    <row r="496" spans="2:3" ht="18.75" customHeight="1" x14ac:dyDescent="0.4">
      <c r="B496" s="25"/>
      <c r="C496" s="23"/>
    </row>
    <row r="497" spans="2:3" ht="18.75" customHeight="1" x14ac:dyDescent="0.4">
      <c r="B497" s="25"/>
      <c r="C497" s="23"/>
    </row>
    <row r="498" spans="2:3" ht="18.75" customHeight="1" x14ac:dyDescent="0.4">
      <c r="B498" s="25"/>
      <c r="C498" s="23"/>
    </row>
    <row r="499" spans="2:3" ht="18.75" customHeight="1" x14ac:dyDescent="0.4">
      <c r="B499" s="25"/>
      <c r="C499" s="23"/>
    </row>
    <row r="500" spans="2:3" ht="18.75" customHeight="1" x14ac:dyDescent="0.4">
      <c r="B500" s="25"/>
      <c r="C500" s="23"/>
    </row>
    <row r="501" spans="2:3" ht="18.75" customHeight="1" x14ac:dyDescent="0.4">
      <c r="B501" s="25"/>
      <c r="C501" s="23"/>
    </row>
    <row r="502" spans="2:3" ht="18.75" customHeight="1" x14ac:dyDescent="0.4">
      <c r="B502" s="25"/>
      <c r="C502" s="23"/>
    </row>
    <row r="503" spans="2:3" ht="18.75" customHeight="1" x14ac:dyDescent="0.4">
      <c r="B503" s="25"/>
      <c r="C503" s="23"/>
    </row>
    <row r="504" spans="2:3" ht="18.75" customHeight="1" x14ac:dyDescent="0.4">
      <c r="B504" s="25"/>
      <c r="C504" s="23"/>
    </row>
    <row r="505" spans="2:3" ht="18.75" customHeight="1" x14ac:dyDescent="0.4">
      <c r="B505" s="25"/>
      <c r="C505" s="23"/>
    </row>
    <row r="506" spans="2:3" ht="18.75" customHeight="1" x14ac:dyDescent="0.4">
      <c r="B506" s="25"/>
      <c r="C506" s="23"/>
    </row>
    <row r="507" spans="2:3" ht="18.75" customHeight="1" x14ac:dyDescent="0.4">
      <c r="B507" s="25"/>
      <c r="C507" s="23"/>
    </row>
    <row r="508" spans="2:3" ht="18.75" customHeight="1" x14ac:dyDescent="0.4">
      <c r="B508" s="25"/>
      <c r="C508" s="23"/>
    </row>
    <row r="509" spans="2:3" ht="18.75" customHeight="1" x14ac:dyDescent="0.4">
      <c r="B509" s="25"/>
      <c r="C509" s="23"/>
    </row>
    <row r="510" spans="2:3" ht="18.75" customHeight="1" x14ac:dyDescent="0.4">
      <c r="B510" s="25"/>
      <c r="C510" s="23"/>
    </row>
    <row r="511" spans="2:3" ht="18.75" customHeight="1" x14ac:dyDescent="0.4">
      <c r="B511" s="25"/>
      <c r="C511" s="23"/>
    </row>
    <row r="512" spans="2:3" ht="18.75" customHeight="1" x14ac:dyDescent="0.4">
      <c r="B512" s="25"/>
      <c r="C512" s="23"/>
    </row>
    <row r="513" spans="2:3" ht="18.75" customHeight="1" x14ac:dyDescent="0.4">
      <c r="B513" s="25"/>
      <c r="C513" s="23"/>
    </row>
    <row r="514" spans="2:3" ht="18.75" customHeight="1" x14ac:dyDescent="0.4">
      <c r="B514" s="25"/>
      <c r="C514" s="23"/>
    </row>
    <row r="515" spans="2:3" ht="18.75" customHeight="1" x14ac:dyDescent="0.4">
      <c r="B515" s="25"/>
      <c r="C515" s="23"/>
    </row>
    <row r="516" spans="2:3" ht="18.75" customHeight="1" x14ac:dyDescent="0.4">
      <c r="B516" s="25"/>
      <c r="C516" s="23"/>
    </row>
    <row r="517" spans="2:3" ht="18.75" customHeight="1" x14ac:dyDescent="0.4">
      <c r="B517" s="25"/>
      <c r="C517" s="23"/>
    </row>
    <row r="518" spans="2:3" ht="18.75" customHeight="1" x14ac:dyDescent="0.4">
      <c r="B518" s="25"/>
      <c r="C518" s="23"/>
    </row>
    <row r="519" spans="2:3" ht="18.75" customHeight="1" x14ac:dyDescent="0.4">
      <c r="B519" s="25"/>
      <c r="C519" s="23"/>
    </row>
    <row r="520" spans="2:3" ht="18.75" customHeight="1" x14ac:dyDescent="0.4">
      <c r="B520" s="25"/>
      <c r="C520" s="23"/>
    </row>
    <row r="521" spans="2:3" ht="18.75" customHeight="1" x14ac:dyDescent="0.4">
      <c r="B521" s="25"/>
      <c r="C521" s="23"/>
    </row>
    <row r="522" spans="2:3" ht="18.75" customHeight="1" x14ac:dyDescent="0.4">
      <c r="B522" s="25"/>
      <c r="C522" s="23"/>
    </row>
    <row r="523" spans="2:3" ht="18.75" customHeight="1" x14ac:dyDescent="0.4">
      <c r="B523" s="25"/>
      <c r="C523" s="23"/>
    </row>
    <row r="524" spans="2:3" ht="18.75" customHeight="1" x14ac:dyDescent="0.4">
      <c r="B524" s="25"/>
      <c r="C524" s="23"/>
    </row>
    <row r="525" spans="2:3" ht="18.75" customHeight="1" x14ac:dyDescent="0.4">
      <c r="B525" s="25"/>
      <c r="C525" s="23"/>
    </row>
    <row r="526" spans="2:3" ht="18.75" customHeight="1" x14ac:dyDescent="0.4">
      <c r="B526" s="25"/>
      <c r="C526" s="23"/>
    </row>
    <row r="527" spans="2:3" ht="18.75" customHeight="1" x14ac:dyDescent="0.4">
      <c r="B527" s="25"/>
      <c r="C527" s="23"/>
    </row>
    <row r="528" spans="2:3" ht="18.75" customHeight="1" x14ac:dyDescent="0.4">
      <c r="B528" s="25"/>
      <c r="C528" s="23"/>
    </row>
    <row r="529" spans="2:3" ht="18.75" customHeight="1" x14ac:dyDescent="0.4">
      <c r="B529" s="25"/>
      <c r="C529" s="23"/>
    </row>
    <row r="530" spans="2:3" ht="18.75" customHeight="1" x14ac:dyDescent="0.4">
      <c r="B530" s="25"/>
      <c r="C530" s="23"/>
    </row>
    <row r="531" spans="2:3" ht="18.75" customHeight="1" x14ac:dyDescent="0.4">
      <c r="B531" s="25"/>
      <c r="C531" s="23"/>
    </row>
    <row r="532" spans="2:3" ht="18.75" customHeight="1" x14ac:dyDescent="0.4">
      <c r="B532" s="25"/>
      <c r="C532" s="23"/>
    </row>
    <row r="533" spans="2:3" ht="18.75" customHeight="1" x14ac:dyDescent="0.4">
      <c r="B533" s="25"/>
      <c r="C533" s="23"/>
    </row>
    <row r="534" spans="2:3" ht="18.75" customHeight="1" x14ac:dyDescent="0.4">
      <c r="B534" s="25"/>
      <c r="C534" s="23"/>
    </row>
    <row r="535" spans="2:3" ht="18.75" customHeight="1" x14ac:dyDescent="0.4">
      <c r="B535" s="25"/>
      <c r="C535" s="23"/>
    </row>
    <row r="536" spans="2:3" ht="18.75" customHeight="1" x14ac:dyDescent="0.4">
      <c r="B536" s="25"/>
      <c r="C536" s="23"/>
    </row>
    <row r="537" spans="2:3" ht="18.75" customHeight="1" x14ac:dyDescent="0.4">
      <c r="B537" s="25"/>
      <c r="C537" s="23"/>
    </row>
    <row r="538" spans="2:3" ht="18.75" customHeight="1" x14ac:dyDescent="0.4">
      <c r="B538" s="25"/>
      <c r="C538" s="23"/>
    </row>
    <row r="539" spans="2:3" ht="18.75" customHeight="1" x14ac:dyDescent="0.4">
      <c r="B539" s="25"/>
      <c r="C539" s="23"/>
    </row>
    <row r="540" spans="2:3" ht="18.75" customHeight="1" x14ac:dyDescent="0.4">
      <c r="B540" s="25"/>
      <c r="C540" s="23"/>
    </row>
    <row r="541" spans="2:3" ht="18.75" customHeight="1" x14ac:dyDescent="0.4">
      <c r="B541" s="25"/>
      <c r="C541" s="23"/>
    </row>
    <row r="542" spans="2:3" ht="18.75" customHeight="1" x14ac:dyDescent="0.4">
      <c r="B542" s="25"/>
      <c r="C542" s="23"/>
    </row>
    <row r="543" spans="2:3" ht="18.75" customHeight="1" x14ac:dyDescent="0.4">
      <c r="B543" s="25"/>
      <c r="C543" s="23"/>
    </row>
    <row r="544" spans="2:3" ht="18.75" customHeight="1" x14ac:dyDescent="0.4">
      <c r="B544" s="25"/>
      <c r="C544" s="23"/>
    </row>
    <row r="545" spans="2:3" ht="18.75" customHeight="1" x14ac:dyDescent="0.4">
      <c r="B545" s="25"/>
      <c r="C545" s="23"/>
    </row>
    <row r="546" spans="2:3" ht="18.75" customHeight="1" x14ac:dyDescent="0.4">
      <c r="B546" s="25"/>
      <c r="C546" s="23"/>
    </row>
    <row r="547" spans="2:3" ht="18.75" customHeight="1" x14ac:dyDescent="0.4">
      <c r="B547" s="25"/>
      <c r="C547" s="23"/>
    </row>
    <row r="548" spans="2:3" ht="18.75" customHeight="1" x14ac:dyDescent="0.4">
      <c r="B548" s="25"/>
      <c r="C548" s="23"/>
    </row>
    <row r="549" spans="2:3" ht="18.75" customHeight="1" x14ac:dyDescent="0.4">
      <c r="B549" s="25"/>
      <c r="C549" s="23"/>
    </row>
    <row r="550" spans="2:3" ht="18.75" customHeight="1" x14ac:dyDescent="0.4">
      <c r="B550" s="25"/>
      <c r="C550" s="23"/>
    </row>
    <row r="551" spans="2:3" ht="18.75" customHeight="1" x14ac:dyDescent="0.4">
      <c r="B551" s="25"/>
      <c r="C551" s="23"/>
    </row>
    <row r="552" spans="2:3" ht="18.75" customHeight="1" x14ac:dyDescent="0.4">
      <c r="B552" s="25"/>
      <c r="C552" s="23"/>
    </row>
    <row r="553" spans="2:3" ht="18.75" customHeight="1" x14ac:dyDescent="0.4">
      <c r="B553" s="25"/>
      <c r="C553" s="23"/>
    </row>
    <row r="554" spans="2:3" ht="18.75" customHeight="1" x14ac:dyDescent="0.4">
      <c r="B554" s="25"/>
      <c r="C554" s="23"/>
    </row>
    <row r="555" spans="2:3" ht="18.75" customHeight="1" x14ac:dyDescent="0.4">
      <c r="B555" s="25"/>
      <c r="C555" s="23"/>
    </row>
    <row r="556" spans="2:3" ht="18.75" customHeight="1" x14ac:dyDescent="0.4">
      <c r="B556" s="25"/>
      <c r="C556" s="23"/>
    </row>
    <row r="557" spans="2:3" ht="18.75" customHeight="1" x14ac:dyDescent="0.4">
      <c r="B557" s="25"/>
      <c r="C557" s="23"/>
    </row>
    <row r="558" spans="2:3" ht="18.75" customHeight="1" x14ac:dyDescent="0.4">
      <c r="B558" s="25"/>
      <c r="C558" s="23"/>
    </row>
    <row r="559" spans="2:3" ht="18.75" customHeight="1" x14ac:dyDescent="0.4">
      <c r="B559" s="25"/>
      <c r="C559" s="23"/>
    </row>
    <row r="560" spans="2:3" ht="18.75" customHeight="1" x14ac:dyDescent="0.4">
      <c r="B560" s="25"/>
      <c r="C560" s="23"/>
    </row>
    <row r="561" spans="2:3" ht="18.75" customHeight="1" x14ac:dyDescent="0.4">
      <c r="B561" s="25"/>
      <c r="C561" s="23"/>
    </row>
    <row r="562" spans="2:3" ht="18.75" customHeight="1" x14ac:dyDescent="0.4">
      <c r="B562" s="25"/>
      <c r="C562" s="23"/>
    </row>
    <row r="563" spans="2:3" ht="18.75" customHeight="1" x14ac:dyDescent="0.4">
      <c r="B563" s="25"/>
      <c r="C563" s="23"/>
    </row>
    <row r="564" spans="2:3" ht="18.75" customHeight="1" x14ac:dyDescent="0.4">
      <c r="B564" s="25"/>
      <c r="C564" s="23"/>
    </row>
    <row r="565" spans="2:3" ht="18.75" customHeight="1" x14ac:dyDescent="0.4">
      <c r="B565" s="25"/>
      <c r="C565" s="23"/>
    </row>
    <row r="566" spans="2:3" ht="18.75" customHeight="1" x14ac:dyDescent="0.4">
      <c r="B566" s="25"/>
      <c r="C566" s="23"/>
    </row>
    <row r="567" spans="2:3" ht="18.75" customHeight="1" x14ac:dyDescent="0.4">
      <c r="B567" s="25"/>
      <c r="C567" s="23"/>
    </row>
    <row r="568" spans="2:3" ht="18.75" customHeight="1" x14ac:dyDescent="0.4">
      <c r="B568" s="25"/>
      <c r="C568" s="23"/>
    </row>
    <row r="569" spans="2:3" ht="18.75" customHeight="1" x14ac:dyDescent="0.4">
      <c r="B569" s="25"/>
      <c r="C569" s="23"/>
    </row>
    <row r="570" spans="2:3" ht="18.75" customHeight="1" x14ac:dyDescent="0.4">
      <c r="B570" s="25"/>
      <c r="C570" s="23"/>
    </row>
    <row r="571" spans="2:3" ht="18.75" customHeight="1" x14ac:dyDescent="0.4">
      <c r="B571" s="25"/>
      <c r="C571" s="23"/>
    </row>
    <row r="572" spans="2:3" ht="18.75" customHeight="1" x14ac:dyDescent="0.4">
      <c r="B572" s="25"/>
      <c r="C572" s="23"/>
    </row>
    <row r="573" spans="2:3" ht="18.75" customHeight="1" x14ac:dyDescent="0.4">
      <c r="B573" s="25"/>
      <c r="C573" s="23"/>
    </row>
    <row r="574" spans="2:3" ht="18.75" customHeight="1" x14ac:dyDescent="0.4">
      <c r="B574" s="25"/>
      <c r="C574" s="23"/>
    </row>
    <row r="575" spans="2:3" ht="18.75" customHeight="1" x14ac:dyDescent="0.4">
      <c r="B575" s="25"/>
      <c r="C575" s="23"/>
    </row>
    <row r="576" spans="2:3" ht="18.75" customHeight="1" x14ac:dyDescent="0.4">
      <c r="B576" s="25"/>
      <c r="C576" s="23"/>
    </row>
    <row r="577" spans="2:3" ht="18.75" customHeight="1" x14ac:dyDescent="0.4">
      <c r="B577" s="25"/>
      <c r="C577" s="23"/>
    </row>
    <row r="578" spans="2:3" ht="18.75" customHeight="1" x14ac:dyDescent="0.4">
      <c r="B578" s="25"/>
      <c r="C578" s="23"/>
    </row>
    <row r="579" spans="2:3" ht="18.75" customHeight="1" x14ac:dyDescent="0.4">
      <c r="B579" s="25"/>
      <c r="C579" s="23"/>
    </row>
    <row r="580" spans="2:3" ht="18.75" customHeight="1" x14ac:dyDescent="0.4">
      <c r="B580" s="25"/>
      <c r="C580" s="23"/>
    </row>
    <row r="581" spans="2:3" ht="18.75" customHeight="1" x14ac:dyDescent="0.4">
      <c r="B581" s="25"/>
      <c r="C581" s="23"/>
    </row>
    <row r="582" spans="2:3" ht="18.75" customHeight="1" x14ac:dyDescent="0.4">
      <c r="B582" s="25"/>
      <c r="C582" s="23"/>
    </row>
    <row r="583" spans="2:3" ht="18.75" customHeight="1" x14ac:dyDescent="0.4">
      <c r="B583" s="25"/>
      <c r="C583" s="23"/>
    </row>
    <row r="584" spans="2:3" ht="18.75" customHeight="1" x14ac:dyDescent="0.4">
      <c r="B584" s="25"/>
      <c r="C584" s="23"/>
    </row>
    <row r="585" spans="2:3" ht="18.75" customHeight="1" x14ac:dyDescent="0.4">
      <c r="B585" s="25"/>
      <c r="C585" s="23"/>
    </row>
    <row r="586" spans="2:3" ht="18.75" customHeight="1" x14ac:dyDescent="0.4">
      <c r="B586" s="25"/>
      <c r="C586" s="23"/>
    </row>
    <row r="587" spans="2:3" ht="18.75" customHeight="1" x14ac:dyDescent="0.4">
      <c r="B587" s="25"/>
      <c r="C587" s="23"/>
    </row>
    <row r="588" spans="2:3" ht="18.75" customHeight="1" x14ac:dyDescent="0.4">
      <c r="B588" s="25"/>
      <c r="C588" s="23"/>
    </row>
    <row r="589" spans="2:3" ht="18.75" customHeight="1" x14ac:dyDescent="0.4">
      <c r="B589" s="25"/>
      <c r="C589" s="23"/>
    </row>
    <row r="590" spans="2:3" ht="18.75" customHeight="1" x14ac:dyDescent="0.4">
      <c r="B590" s="25"/>
      <c r="C590" s="23"/>
    </row>
    <row r="591" spans="2:3" ht="18.75" customHeight="1" x14ac:dyDescent="0.4">
      <c r="B591" s="25"/>
      <c r="C591" s="23"/>
    </row>
    <row r="592" spans="2:3" ht="18.75" customHeight="1" x14ac:dyDescent="0.4">
      <c r="B592" s="25"/>
      <c r="C592" s="23"/>
    </row>
    <row r="593" spans="2:3" ht="18.75" customHeight="1" x14ac:dyDescent="0.4">
      <c r="B593" s="25"/>
      <c r="C593" s="23"/>
    </row>
    <row r="594" spans="2:3" ht="18.75" customHeight="1" x14ac:dyDescent="0.4">
      <c r="B594" s="25"/>
      <c r="C594" s="23"/>
    </row>
    <row r="595" spans="2:3" ht="18.75" customHeight="1" x14ac:dyDescent="0.4">
      <c r="B595" s="25"/>
      <c r="C595" s="23"/>
    </row>
    <row r="596" spans="2:3" ht="18.75" customHeight="1" x14ac:dyDescent="0.4">
      <c r="B596" s="25"/>
      <c r="C596" s="23"/>
    </row>
    <row r="597" spans="2:3" ht="18.75" customHeight="1" x14ac:dyDescent="0.4">
      <c r="B597" s="25"/>
      <c r="C597" s="23"/>
    </row>
    <row r="598" spans="2:3" ht="18.75" customHeight="1" x14ac:dyDescent="0.4">
      <c r="B598" s="25"/>
      <c r="C598" s="23"/>
    </row>
    <row r="599" spans="2:3" ht="18.75" customHeight="1" x14ac:dyDescent="0.4">
      <c r="B599" s="25"/>
      <c r="C599" s="23"/>
    </row>
    <row r="600" spans="2:3" ht="18.75" customHeight="1" x14ac:dyDescent="0.4">
      <c r="B600" s="25"/>
      <c r="C600" s="23"/>
    </row>
    <row r="601" spans="2:3" ht="18.75" customHeight="1" x14ac:dyDescent="0.4">
      <c r="B601" s="25"/>
      <c r="C601" s="23"/>
    </row>
    <row r="602" spans="2:3" ht="18.75" customHeight="1" x14ac:dyDescent="0.4">
      <c r="B602" s="25"/>
      <c r="C602" s="23"/>
    </row>
    <row r="603" spans="2:3" ht="18.75" customHeight="1" x14ac:dyDescent="0.4">
      <c r="B603" s="25"/>
      <c r="C603" s="23"/>
    </row>
    <row r="604" spans="2:3" ht="18.75" customHeight="1" x14ac:dyDescent="0.4">
      <c r="B604" s="25"/>
      <c r="C604" s="23"/>
    </row>
    <row r="605" spans="2:3" ht="18.75" customHeight="1" x14ac:dyDescent="0.4">
      <c r="B605" s="25"/>
      <c r="C605" s="23"/>
    </row>
    <row r="606" spans="2:3" ht="18.75" customHeight="1" x14ac:dyDescent="0.4">
      <c r="B606" s="25"/>
      <c r="C606" s="23"/>
    </row>
    <row r="607" spans="2:3" ht="18.75" customHeight="1" x14ac:dyDescent="0.4">
      <c r="B607" s="25"/>
      <c r="C607" s="23"/>
    </row>
    <row r="608" spans="2:3" ht="18.75" customHeight="1" x14ac:dyDescent="0.4">
      <c r="B608" s="25"/>
      <c r="C608" s="23"/>
    </row>
    <row r="609" spans="2:3" ht="18.75" customHeight="1" x14ac:dyDescent="0.4">
      <c r="B609" s="25"/>
      <c r="C609" s="23"/>
    </row>
    <row r="610" spans="2:3" ht="18.75" customHeight="1" x14ac:dyDescent="0.4">
      <c r="B610" s="25"/>
      <c r="C610" s="23"/>
    </row>
    <row r="611" spans="2:3" ht="18.75" customHeight="1" x14ac:dyDescent="0.4">
      <c r="B611" s="25"/>
      <c r="C611" s="23"/>
    </row>
    <row r="612" spans="2:3" ht="18.75" customHeight="1" x14ac:dyDescent="0.4">
      <c r="B612" s="25"/>
      <c r="C612" s="23"/>
    </row>
    <row r="613" spans="2:3" ht="18.75" customHeight="1" x14ac:dyDescent="0.4">
      <c r="B613" s="25"/>
      <c r="C613" s="23"/>
    </row>
    <row r="614" spans="2:3" ht="18.75" customHeight="1" x14ac:dyDescent="0.4">
      <c r="B614" s="25"/>
      <c r="C614" s="23"/>
    </row>
    <row r="615" spans="2:3" ht="18.75" customHeight="1" x14ac:dyDescent="0.4">
      <c r="B615" s="25"/>
      <c r="C615" s="23"/>
    </row>
    <row r="616" spans="2:3" ht="18.75" customHeight="1" x14ac:dyDescent="0.4">
      <c r="B616" s="25"/>
      <c r="C616" s="23"/>
    </row>
    <row r="617" spans="2:3" ht="18.75" customHeight="1" x14ac:dyDescent="0.4">
      <c r="B617" s="25"/>
      <c r="C617" s="23"/>
    </row>
    <row r="618" spans="2:3" ht="18.75" customHeight="1" x14ac:dyDescent="0.4">
      <c r="B618" s="25"/>
      <c r="C618" s="23"/>
    </row>
    <row r="619" spans="2:3" ht="18.75" customHeight="1" x14ac:dyDescent="0.4">
      <c r="B619" s="25"/>
      <c r="C619" s="23"/>
    </row>
    <row r="620" spans="2:3" ht="18.75" customHeight="1" x14ac:dyDescent="0.4">
      <c r="B620" s="25"/>
      <c r="C620" s="23"/>
    </row>
    <row r="621" spans="2:3" ht="18.75" customHeight="1" x14ac:dyDescent="0.4">
      <c r="B621" s="25"/>
      <c r="C621" s="23"/>
    </row>
    <row r="622" spans="2:3" ht="18.75" customHeight="1" x14ac:dyDescent="0.4">
      <c r="B622" s="25"/>
      <c r="C622" s="23"/>
    </row>
    <row r="623" spans="2:3" ht="18.75" customHeight="1" x14ac:dyDescent="0.4">
      <c r="B623" s="25"/>
      <c r="C623" s="23"/>
    </row>
    <row r="624" spans="2:3" ht="18.75" customHeight="1" x14ac:dyDescent="0.4">
      <c r="B624" s="25"/>
      <c r="C624" s="23"/>
    </row>
    <row r="625" spans="2:3" ht="18.75" customHeight="1" x14ac:dyDescent="0.4">
      <c r="B625" s="25"/>
      <c r="C625" s="23"/>
    </row>
    <row r="626" spans="2:3" ht="18.75" customHeight="1" x14ac:dyDescent="0.4">
      <c r="B626" s="25"/>
      <c r="C626" s="23"/>
    </row>
    <row r="627" spans="2:3" ht="18.75" customHeight="1" x14ac:dyDescent="0.4">
      <c r="B627" s="25"/>
      <c r="C627" s="23"/>
    </row>
    <row r="628" spans="2:3" ht="18.75" customHeight="1" x14ac:dyDescent="0.4">
      <c r="B628" s="25"/>
      <c r="C628" s="23"/>
    </row>
    <row r="629" spans="2:3" ht="18.75" customHeight="1" x14ac:dyDescent="0.4">
      <c r="B629" s="25"/>
      <c r="C629" s="23"/>
    </row>
    <row r="630" spans="2:3" ht="18.75" customHeight="1" x14ac:dyDescent="0.4">
      <c r="B630" s="25"/>
      <c r="C630" s="23"/>
    </row>
    <row r="631" spans="2:3" ht="18.75" customHeight="1" x14ac:dyDescent="0.4">
      <c r="B631" s="25"/>
      <c r="C631" s="23"/>
    </row>
    <row r="632" spans="2:3" ht="18.75" customHeight="1" x14ac:dyDescent="0.4">
      <c r="B632" s="25"/>
      <c r="C632" s="23"/>
    </row>
    <row r="633" spans="2:3" ht="18.75" customHeight="1" x14ac:dyDescent="0.4">
      <c r="B633" s="25"/>
      <c r="C633" s="23"/>
    </row>
    <row r="634" spans="2:3" ht="18.75" customHeight="1" x14ac:dyDescent="0.4">
      <c r="B634" s="25"/>
      <c r="C634" s="23"/>
    </row>
    <row r="635" spans="2:3" ht="18.75" customHeight="1" x14ac:dyDescent="0.4">
      <c r="B635" s="25"/>
      <c r="C635" s="23"/>
    </row>
    <row r="636" spans="2:3" ht="18.75" customHeight="1" x14ac:dyDescent="0.4">
      <c r="B636" s="25"/>
      <c r="C636" s="23"/>
    </row>
    <row r="637" spans="2:3" ht="18.75" customHeight="1" x14ac:dyDescent="0.4">
      <c r="B637" s="25"/>
      <c r="C637" s="23"/>
    </row>
    <row r="638" spans="2:3" ht="18.75" customHeight="1" x14ac:dyDescent="0.4">
      <c r="B638" s="25"/>
      <c r="C638" s="23"/>
    </row>
    <row r="639" spans="2:3" ht="18.75" customHeight="1" x14ac:dyDescent="0.4">
      <c r="B639" s="25"/>
      <c r="C639" s="23"/>
    </row>
    <row r="640" spans="2:3" ht="18.75" customHeight="1" x14ac:dyDescent="0.4">
      <c r="B640" s="25"/>
      <c r="C640" s="23"/>
    </row>
    <row r="641" spans="2:3" ht="18.75" customHeight="1" x14ac:dyDescent="0.4">
      <c r="B641" s="25"/>
      <c r="C641" s="23"/>
    </row>
    <row r="642" spans="2:3" ht="18.75" customHeight="1" x14ac:dyDescent="0.4">
      <c r="B642" s="25"/>
      <c r="C642" s="23"/>
    </row>
    <row r="643" spans="2:3" ht="18.75" customHeight="1" x14ac:dyDescent="0.4">
      <c r="B643" s="25"/>
      <c r="C643" s="23"/>
    </row>
    <row r="644" spans="2:3" ht="18.75" customHeight="1" x14ac:dyDescent="0.4">
      <c r="B644" s="25"/>
      <c r="C644" s="23"/>
    </row>
    <row r="645" spans="2:3" ht="18.75" customHeight="1" x14ac:dyDescent="0.4">
      <c r="B645" s="25"/>
      <c r="C645" s="23"/>
    </row>
    <row r="646" spans="2:3" ht="18.75" customHeight="1" x14ac:dyDescent="0.4">
      <c r="B646" s="25"/>
      <c r="C646" s="23"/>
    </row>
    <row r="647" spans="2:3" ht="18.75" customHeight="1" x14ac:dyDescent="0.4">
      <c r="B647" s="25"/>
      <c r="C647" s="23"/>
    </row>
    <row r="648" spans="2:3" ht="18.75" customHeight="1" x14ac:dyDescent="0.4">
      <c r="B648" s="25"/>
      <c r="C648" s="23"/>
    </row>
    <row r="649" spans="2:3" ht="18.75" customHeight="1" x14ac:dyDescent="0.4">
      <c r="B649" s="25"/>
      <c r="C649" s="23"/>
    </row>
    <row r="650" spans="2:3" ht="18.75" customHeight="1" x14ac:dyDescent="0.4">
      <c r="B650" s="25"/>
      <c r="C650" s="23"/>
    </row>
    <row r="651" spans="2:3" ht="18.75" customHeight="1" x14ac:dyDescent="0.4">
      <c r="B651" s="25"/>
      <c r="C651" s="23"/>
    </row>
    <row r="652" spans="2:3" ht="18.75" customHeight="1" x14ac:dyDescent="0.4">
      <c r="B652" s="25"/>
      <c r="C652" s="23"/>
    </row>
    <row r="653" spans="2:3" ht="18.75" customHeight="1" x14ac:dyDescent="0.4">
      <c r="B653" s="25"/>
      <c r="C653" s="23"/>
    </row>
    <row r="654" spans="2:3" ht="18.75" customHeight="1" x14ac:dyDescent="0.4">
      <c r="B654" s="25"/>
      <c r="C654" s="23"/>
    </row>
    <row r="655" spans="2:3" ht="18.75" customHeight="1" x14ac:dyDescent="0.4">
      <c r="B655" s="25"/>
      <c r="C655" s="23"/>
    </row>
    <row r="656" spans="2:3" ht="18.75" customHeight="1" x14ac:dyDescent="0.4">
      <c r="B656" s="25"/>
      <c r="C656" s="23"/>
    </row>
    <row r="657" spans="2:3" ht="18.75" customHeight="1" x14ac:dyDescent="0.4">
      <c r="B657" s="25"/>
      <c r="C657" s="23"/>
    </row>
    <row r="658" spans="2:3" ht="18.75" customHeight="1" x14ac:dyDescent="0.4">
      <c r="B658" s="25"/>
      <c r="C658" s="23"/>
    </row>
    <row r="659" spans="2:3" ht="18.75" customHeight="1" x14ac:dyDescent="0.4">
      <c r="B659" s="25"/>
      <c r="C659" s="23"/>
    </row>
    <row r="660" spans="2:3" ht="18.75" customHeight="1" x14ac:dyDescent="0.4">
      <c r="B660" s="25"/>
      <c r="C660" s="23"/>
    </row>
    <row r="661" spans="2:3" ht="18.75" customHeight="1" x14ac:dyDescent="0.4">
      <c r="B661" s="25"/>
      <c r="C661" s="23"/>
    </row>
    <row r="662" spans="2:3" ht="18.75" customHeight="1" x14ac:dyDescent="0.4">
      <c r="B662" s="25"/>
      <c r="C662" s="23"/>
    </row>
    <row r="663" spans="2:3" ht="18.75" customHeight="1" x14ac:dyDescent="0.4">
      <c r="B663" s="25"/>
      <c r="C663" s="23"/>
    </row>
    <row r="664" spans="2:3" ht="18.75" customHeight="1" x14ac:dyDescent="0.4">
      <c r="B664" s="25"/>
      <c r="C664" s="23"/>
    </row>
    <row r="665" spans="2:3" ht="18.75" customHeight="1" x14ac:dyDescent="0.4">
      <c r="B665" s="25"/>
      <c r="C665" s="23"/>
    </row>
    <row r="666" spans="2:3" ht="18.75" customHeight="1" x14ac:dyDescent="0.4">
      <c r="B666" s="25"/>
      <c r="C666" s="23"/>
    </row>
    <row r="667" spans="2:3" ht="18.75" customHeight="1" x14ac:dyDescent="0.4">
      <c r="B667" s="25"/>
      <c r="C667" s="23"/>
    </row>
    <row r="668" spans="2:3" ht="18.75" customHeight="1" x14ac:dyDescent="0.4">
      <c r="B668" s="25"/>
      <c r="C668" s="23"/>
    </row>
    <row r="669" spans="2:3" ht="18.75" customHeight="1" x14ac:dyDescent="0.4">
      <c r="B669" s="25"/>
      <c r="C669" s="23"/>
    </row>
    <row r="670" spans="2:3" ht="18.75" customHeight="1" x14ac:dyDescent="0.4">
      <c r="B670" s="25"/>
      <c r="C670" s="23"/>
    </row>
    <row r="671" spans="2:3" ht="18.75" customHeight="1" x14ac:dyDescent="0.4">
      <c r="B671" s="25"/>
      <c r="C671" s="23"/>
    </row>
    <row r="672" spans="2:3" ht="18.75" customHeight="1" x14ac:dyDescent="0.4">
      <c r="B672" s="25"/>
      <c r="C672" s="23"/>
    </row>
    <row r="673" spans="2:3" ht="18.75" customHeight="1" x14ac:dyDescent="0.4">
      <c r="B673" s="25"/>
      <c r="C673" s="23"/>
    </row>
    <row r="674" spans="2:3" ht="18.75" customHeight="1" x14ac:dyDescent="0.4">
      <c r="B674" s="25"/>
      <c r="C674" s="23"/>
    </row>
    <row r="675" spans="2:3" ht="18.75" customHeight="1" x14ac:dyDescent="0.4">
      <c r="B675" s="25"/>
      <c r="C675" s="23"/>
    </row>
    <row r="676" spans="2:3" ht="18.75" customHeight="1" x14ac:dyDescent="0.4">
      <c r="B676" s="25"/>
      <c r="C676" s="23"/>
    </row>
    <row r="677" spans="2:3" ht="18.75" customHeight="1" x14ac:dyDescent="0.4">
      <c r="B677" s="25"/>
      <c r="C677" s="23"/>
    </row>
    <row r="678" spans="2:3" ht="18.75" customHeight="1" x14ac:dyDescent="0.4">
      <c r="B678" s="25"/>
      <c r="C678" s="23"/>
    </row>
    <row r="679" spans="2:3" ht="18.75" customHeight="1" x14ac:dyDescent="0.4">
      <c r="B679" s="25"/>
      <c r="C679" s="23"/>
    </row>
    <row r="680" spans="2:3" ht="18.75" customHeight="1" x14ac:dyDescent="0.4">
      <c r="B680" s="25"/>
      <c r="C680" s="23"/>
    </row>
    <row r="681" spans="2:3" ht="18.75" customHeight="1" x14ac:dyDescent="0.4">
      <c r="B681" s="25"/>
      <c r="C681" s="23"/>
    </row>
    <row r="682" spans="2:3" ht="18.75" customHeight="1" x14ac:dyDescent="0.4">
      <c r="B682" s="25"/>
      <c r="C682" s="23"/>
    </row>
    <row r="683" spans="2:3" ht="18.75" customHeight="1" x14ac:dyDescent="0.4">
      <c r="B683" s="25"/>
      <c r="C683" s="23"/>
    </row>
    <row r="684" spans="2:3" ht="18.75" customHeight="1" x14ac:dyDescent="0.4">
      <c r="B684" s="25"/>
      <c r="C684" s="23"/>
    </row>
    <row r="685" spans="2:3" ht="18.75" customHeight="1" x14ac:dyDescent="0.4">
      <c r="B685" s="25"/>
      <c r="C685" s="23"/>
    </row>
    <row r="686" spans="2:3" ht="18.75" customHeight="1" x14ac:dyDescent="0.4">
      <c r="B686" s="25"/>
      <c r="C686" s="23"/>
    </row>
    <row r="687" spans="2:3" ht="18.75" customHeight="1" x14ac:dyDescent="0.4">
      <c r="B687" s="25"/>
      <c r="C687" s="23"/>
    </row>
    <row r="688" spans="2:3" ht="18.75" customHeight="1" x14ac:dyDescent="0.4">
      <c r="B688" s="25"/>
      <c r="C688" s="23"/>
    </row>
    <row r="689" spans="2:3" ht="18.75" customHeight="1" x14ac:dyDescent="0.4">
      <c r="B689" s="25"/>
      <c r="C689" s="23"/>
    </row>
    <row r="690" spans="2:3" ht="18.75" customHeight="1" x14ac:dyDescent="0.4">
      <c r="B690" s="25"/>
      <c r="C690" s="23"/>
    </row>
    <row r="691" spans="2:3" ht="18.75" customHeight="1" x14ac:dyDescent="0.4">
      <c r="B691" s="25"/>
      <c r="C691" s="23"/>
    </row>
    <row r="692" spans="2:3" ht="18.75" customHeight="1" x14ac:dyDescent="0.4">
      <c r="B692" s="25"/>
      <c r="C692" s="23"/>
    </row>
    <row r="693" spans="2:3" ht="18.75" customHeight="1" x14ac:dyDescent="0.4">
      <c r="B693" s="25"/>
      <c r="C693" s="23"/>
    </row>
    <row r="694" spans="2:3" ht="18.75" customHeight="1" x14ac:dyDescent="0.4">
      <c r="B694" s="25"/>
      <c r="C694" s="23"/>
    </row>
    <row r="695" spans="2:3" ht="18.75" customHeight="1" x14ac:dyDescent="0.4">
      <c r="B695" s="25"/>
      <c r="C695" s="23"/>
    </row>
    <row r="696" spans="2:3" ht="18.75" customHeight="1" x14ac:dyDescent="0.4">
      <c r="B696" s="25"/>
      <c r="C696" s="23"/>
    </row>
    <row r="697" spans="2:3" ht="18.75" customHeight="1" x14ac:dyDescent="0.4">
      <c r="B697" s="25"/>
      <c r="C697" s="23"/>
    </row>
    <row r="698" spans="2:3" ht="18.75" customHeight="1" x14ac:dyDescent="0.4">
      <c r="B698" s="25"/>
      <c r="C698" s="23"/>
    </row>
    <row r="699" spans="2:3" ht="18.75" customHeight="1" x14ac:dyDescent="0.4">
      <c r="B699" s="25"/>
      <c r="C699" s="23"/>
    </row>
    <row r="700" spans="2:3" ht="18.75" customHeight="1" x14ac:dyDescent="0.4">
      <c r="B700" s="25"/>
      <c r="C700" s="23"/>
    </row>
    <row r="701" spans="2:3" ht="18.75" customHeight="1" x14ac:dyDescent="0.4">
      <c r="B701" s="25"/>
      <c r="C701" s="23"/>
    </row>
    <row r="702" spans="2:3" ht="18.75" customHeight="1" x14ac:dyDescent="0.4">
      <c r="B702" s="25"/>
      <c r="C702" s="23"/>
    </row>
    <row r="703" spans="2:3" ht="18.75" customHeight="1" x14ac:dyDescent="0.4">
      <c r="B703" s="25"/>
      <c r="C703" s="23"/>
    </row>
    <row r="704" spans="2:3" ht="18.75" customHeight="1" x14ac:dyDescent="0.4">
      <c r="B704" s="25"/>
      <c r="C704" s="23"/>
    </row>
    <row r="705" spans="2:3" ht="18.75" customHeight="1" x14ac:dyDescent="0.4">
      <c r="B705" s="25"/>
      <c r="C705" s="23"/>
    </row>
    <row r="706" spans="2:3" ht="18.75" customHeight="1" x14ac:dyDescent="0.4">
      <c r="B706" s="25"/>
      <c r="C706" s="23"/>
    </row>
    <row r="707" spans="2:3" ht="18.75" customHeight="1" x14ac:dyDescent="0.4">
      <c r="B707" s="25"/>
      <c r="C707" s="23"/>
    </row>
    <row r="708" spans="2:3" ht="18.75" customHeight="1" x14ac:dyDescent="0.4">
      <c r="B708" s="25"/>
      <c r="C708" s="23"/>
    </row>
    <row r="709" spans="2:3" ht="18.75" customHeight="1" x14ac:dyDescent="0.4">
      <c r="B709" s="25"/>
      <c r="C709" s="23"/>
    </row>
    <row r="710" spans="2:3" ht="18.75" customHeight="1" x14ac:dyDescent="0.4">
      <c r="B710" s="25"/>
      <c r="C710" s="23"/>
    </row>
    <row r="711" spans="2:3" ht="18.75" customHeight="1" x14ac:dyDescent="0.4">
      <c r="B711" s="25"/>
      <c r="C711" s="23"/>
    </row>
    <row r="712" spans="2:3" ht="18.75" customHeight="1" x14ac:dyDescent="0.4">
      <c r="B712" s="25"/>
      <c r="C712" s="23"/>
    </row>
    <row r="713" spans="2:3" ht="18.75" customHeight="1" x14ac:dyDescent="0.4">
      <c r="B713" s="25"/>
      <c r="C713" s="23"/>
    </row>
    <row r="714" spans="2:3" ht="18.75" customHeight="1" x14ac:dyDescent="0.4">
      <c r="B714" s="25"/>
      <c r="C714" s="23"/>
    </row>
    <row r="715" spans="2:3" ht="18.75" customHeight="1" x14ac:dyDescent="0.4">
      <c r="B715" s="25"/>
      <c r="C715" s="23"/>
    </row>
    <row r="716" spans="2:3" ht="18.75" customHeight="1" x14ac:dyDescent="0.4">
      <c r="B716" s="25"/>
      <c r="C716" s="23"/>
    </row>
    <row r="717" spans="2:3" ht="18.75" customHeight="1" x14ac:dyDescent="0.4">
      <c r="B717" s="25"/>
      <c r="C717" s="23"/>
    </row>
    <row r="718" spans="2:3" ht="18.75" customHeight="1" x14ac:dyDescent="0.4">
      <c r="B718" s="25"/>
      <c r="C718" s="23"/>
    </row>
    <row r="719" spans="2:3" ht="18.75" customHeight="1" x14ac:dyDescent="0.4">
      <c r="B719" s="25"/>
      <c r="C719" s="23"/>
    </row>
    <row r="720" spans="2:3" ht="18.75" customHeight="1" x14ac:dyDescent="0.4">
      <c r="B720" s="25"/>
      <c r="C720" s="23"/>
    </row>
    <row r="721" spans="2:3" ht="18.75" customHeight="1" x14ac:dyDescent="0.4">
      <c r="B721" s="25"/>
      <c r="C721" s="23"/>
    </row>
    <row r="722" spans="2:3" ht="18.75" customHeight="1" x14ac:dyDescent="0.4">
      <c r="B722" s="25"/>
      <c r="C722" s="23"/>
    </row>
    <row r="723" spans="2:3" ht="18.75" customHeight="1" x14ac:dyDescent="0.4">
      <c r="B723" s="25"/>
      <c r="C723" s="23"/>
    </row>
    <row r="724" spans="2:3" ht="18.75" customHeight="1" x14ac:dyDescent="0.4">
      <c r="B724" s="25"/>
      <c r="C724" s="23"/>
    </row>
    <row r="725" spans="2:3" ht="18.75" customHeight="1" x14ac:dyDescent="0.4">
      <c r="B725" s="25"/>
      <c r="C725" s="23"/>
    </row>
    <row r="726" spans="2:3" ht="18.75" customHeight="1" x14ac:dyDescent="0.4">
      <c r="B726" s="25"/>
      <c r="C726" s="23"/>
    </row>
    <row r="727" spans="2:3" ht="18.75" customHeight="1" x14ac:dyDescent="0.4">
      <c r="B727" s="25"/>
      <c r="C727" s="23"/>
    </row>
    <row r="728" spans="2:3" ht="18.75" customHeight="1" x14ac:dyDescent="0.4">
      <c r="B728" s="25"/>
      <c r="C728" s="23"/>
    </row>
    <row r="729" spans="2:3" ht="18.75" customHeight="1" x14ac:dyDescent="0.4">
      <c r="B729" s="25"/>
      <c r="C729" s="23"/>
    </row>
    <row r="730" spans="2:3" ht="18.75" customHeight="1" x14ac:dyDescent="0.4">
      <c r="B730" s="25"/>
      <c r="C730" s="23"/>
    </row>
    <row r="731" spans="2:3" ht="18.75" customHeight="1" x14ac:dyDescent="0.4">
      <c r="B731" s="25"/>
      <c r="C731" s="23"/>
    </row>
    <row r="732" spans="2:3" ht="18.75" customHeight="1" x14ac:dyDescent="0.4">
      <c r="B732" s="25"/>
      <c r="C732" s="23"/>
    </row>
    <row r="733" spans="2:3" ht="18.75" customHeight="1" x14ac:dyDescent="0.4">
      <c r="B733" s="25"/>
      <c r="C733" s="23"/>
    </row>
    <row r="734" spans="2:3" ht="18.75" customHeight="1" x14ac:dyDescent="0.4">
      <c r="B734" s="25"/>
      <c r="C734" s="23"/>
    </row>
    <row r="735" spans="2:3" ht="18.75" customHeight="1" x14ac:dyDescent="0.4">
      <c r="B735" s="25"/>
      <c r="C735" s="23"/>
    </row>
    <row r="736" spans="2:3" ht="18.75" customHeight="1" x14ac:dyDescent="0.4">
      <c r="B736" s="25"/>
      <c r="C736" s="23"/>
    </row>
    <row r="737" spans="2:3" ht="18.75" customHeight="1" x14ac:dyDescent="0.4">
      <c r="B737" s="25"/>
      <c r="C737" s="23"/>
    </row>
    <row r="738" spans="2:3" ht="18.75" customHeight="1" x14ac:dyDescent="0.4">
      <c r="B738" s="25"/>
      <c r="C738" s="23"/>
    </row>
    <row r="739" spans="2:3" ht="18.75" customHeight="1" x14ac:dyDescent="0.4">
      <c r="B739" s="25"/>
      <c r="C739" s="23"/>
    </row>
    <row r="740" spans="2:3" ht="18.75" customHeight="1" x14ac:dyDescent="0.4">
      <c r="B740" s="25"/>
      <c r="C740" s="23"/>
    </row>
    <row r="741" spans="2:3" ht="18.75" customHeight="1" x14ac:dyDescent="0.4">
      <c r="B741" s="25"/>
      <c r="C741" s="23"/>
    </row>
    <row r="742" spans="2:3" ht="18.75" customHeight="1" x14ac:dyDescent="0.4">
      <c r="B742" s="25"/>
      <c r="C742" s="23"/>
    </row>
    <row r="743" spans="2:3" ht="18.75" customHeight="1" x14ac:dyDescent="0.4">
      <c r="B743" s="25"/>
      <c r="C743" s="23"/>
    </row>
    <row r="744" spans="2:3" ht="18.75" customHeight="1" x14ac:dyDescent="0.4">
      <c r="B744" s="25"/>
      <c r="C744" s="23"/>
    </row>
    <row r="745" spans="2:3" ht="18.75" customHeight="1" x14ac:dyDescent="0.4">
      <c r="B745" s="25"/>
      <c r="C745" s="23"/>
    </row>
    <row r="746" spans="2:3" ht="18.75" customHeight="1" x14ac:dyDescent="0.4">
      <c r="B746" s="25"/>
      <c r="C746" s="23"/>
    </row>
    <row r="747" spans="2:3" ht="18.75" customHeight="1" x14ac:dyDescent="0.4">
      <c r="B747" s="25"/>
      <c r="C747" s="23"/>
    </row>
    <row r="748" spans="2:3" ht="18.75" customHeight="1" x14ac:dyDescent="0.4">
      <c r="B748" s="25"/>
      <c r="C748" s="23"/>
    </row>
    <row r="749" spans="2:3" ht="18.75" customHeight="1" x14ac:dyDescent="0.4">
      <c r="B749" s="25"/>
      <c r="C749" s="23"/>
    </row>
    <row r="750" spans="2:3" ht="18.75" customHeight="1" x14ac:dyDescent="0.4">
      <c r="B750" s="25"/>
      <c r="C750" s="23"/>
    </row>
    <row r="751" spans="2:3" ht="18.75" customHeight="1" x14ac:dyDescent="0.4">
      <c r="B751" s="25"/>
      <c r="C751" s="23"/>
    </row>
    <row r="752" spans="2:3" ht="18.75" customHeight="1" x14ac:dyDescent="0.4">
      <c r="B752" s="25"/>
      <c r="C752" s="23"/>
    </row>
    <row r="753" spans="2:3" ht="18.75" customHeight="1" x14ac:dyDescent="0.4">
      <c r="B753" s="25"/>
      <c r="C753" s="23"/>
    </row>
    <row r="754" spans="2:3" ht="18.75" customHeight="1" x14ac:dyDescent="0.4">
      <c r="B754" s="25"/>
      <c r="C754" s="23"/>
    </row>
    <row r="755" spans="2:3" ht="18.75" customHeight="1" x14ac:dyDescent="0.4">
      <c r="B755" s="25"/>
      <c r="C755" s="23"/>
    </row>
    <row r="756" spans="2:3" ht="18.75" customHeight="1" x14ac:dyDescent="0.4">
      <c r="B756" s="25"/>
      <c r="C756" s="23"/>
    </row>
    <row r="757" spans="2:3" ht="18.75" customHeight="1" x14ac:dyDescent="0.4">
      <c r="B757" s="25"/>
      <c r="C757" s="23"/>
    </row>
    <row r="758" spans="2:3" ht="18.75" customHeight="1" x14ac:dyDescent="0.4">
      <c r="B758" s="25"/>
      <c r="C758" s="23"/>
    </row>
    <row r="759" spans="2:3" ht="18.75" customHeight="1" x14ac:dyDescent="0.4">
      <c r="B759" s="25"/>
      <c r="C759" s="23"/>
    </row>
    <row r="760" spans="2:3" ht="18.75" customHeight="1" x14ac:dyDescent="0.4">
      <c r="B760" s="25"/>
      <c r="C760" s="23"/>
    </row>
    <row r="761" spans="2:3" ht="18.75" customHeight="1" x14ac:dyDescent="0.4">
      <c r="B761" s="25"/>
      <c r="C761" s="23"/>
    </row>
    <row r="762" spans="2:3" ht="18.75" customHeight="1" x14ac:dyDescent="0.4">
      <c r="B762" s="25"/>
      <c r="C762" s="23"/>
    </row>
    <row r="763" spans="2:3" ht="18.75" customHeight="1" x14ac:dyDescent="0.4">
      <c r="B763" s="25"/>
      <c r="C763" s="23"/>
    </row>
    <row r="764" spans="2:3" ht="18.75" customHeight="1" x14ac:dyDescent="0.4">
      <c r="B764" s="25"/>
      <c r="C764" s="23"/>
    </row>
    <row r="765" spans="2:3" ht="18.75" customHeight="1" x14ac:dyDescent="0.4">
      <c r="B765" s="25"/>
      <c r="C765" s="23"/>
    </row>
    <row r="766" spans="2:3" ht="18.75" customHeight="1" x14ac:dyDescent="0.4">
      <c r="B766" s="25"/>
      <c r="C766" s="23"/>
    </row>
    <row r="767" spans="2:3" ht="18.75" customHeight="1" x14ac:dyDescent="0.4">
      <c r="B767" s="25"/>
      <c r="C767" s="23"/>
    </row>
    <row r="768" spans="2:3" ht="18.75" customHeight="1" x14ac:dyDescent="0.4">
      <c r="B768" s="25"/>
      <c r="C768" s="23"/>
    </row>
    <row r="769" spans="2:3" ht="18.75" customHeight="1" x14ac:dyDescent="0.4">
      <c r="B769" s="25"/>
      <c r="C769" s="23"/>
    </row>
    <row r="770" spans="2:3" ht="18.75" customHeight="1" x14ac:dyDescent="0.4">
      <c r="B770" s="25"/>
      <c r="C770" s="23"/>
    </row>
    <row r="771" spans="2:3" ht="18.75" customHeight="1" x14ac:dyDescent="0.4">
      <c r="B771" s="25"/>
      <c r="C771" s="23"/>
    </row>
    <row r="772" spans="2:3" ht="18.75" customHeight="1" x14ac:dyDescent="0.4">
      <c r="B772" s="25"/>
      <c r="C772" s="23"/>
    </row>
    <row r="773" spans="2:3" ht="18.75" customHeight="1" x14ac:dyDescent="0.4">
      <c r="B773" s="25"/>
      <c r="C773" s="23"/>
    </row>
    <row r="774" spans="2:3" ht="18.75" customHeight="1" x14ac:dyDescent="0.4">
      <c r="B774" s="25"/>
      <c r="C774" s="23"/>
    </row>
    <row r="775" spans="2:3" ht="18.75" customHeight="1" x14ac:dyDescent="0.4">
      <c r="B775" s="25"/>
      <c r="C775" s="23"/>
    </row>
    <row r="776" spans="2:3" ht="18.75" customHeight="1" x14ac:dyDescent="0.4">
      <c r="B776" s="25"/>
      <c r="C776" s="23"/>
    </row>
    <row r="777" spans="2:3" ht="18.75" customHeight="1" x14ac:dyDescent="0.4">
      <c r="B777" s="25"/>
      <c r="C777" s="23"/>
    </row>
    <row r="778" spans="2:3" ht="18.75" customHeight="1" x14ac:dyDescent="0.4">
      <c r="B778" s="25"/>
      <c r="C778" s="23"/>
    </row>
    <row r="779" spans="2:3" ht="18.75" customHeight="1" x14ac:dyDescent="0.4">
      <c r="B779" s="25"/>
      <c r="C779" s="23"/>
    </row>
    <row r="780" spans="2:3" ht="18.75" customHeight="1" x14ac:dyDescent="0.4">
      <c r="B780" s="25"/>
      <c r="C780" s="23"/>
    </row>
    <row r="781" spans="2:3" ht="18.75" customHeight="1" x14ac:dyDescent="0.4">
      <c r="B781" s="25"/>
      <c r="C781" s="23"/>
    </row>
    <row r="782" spans="2:3" ht="18.75" customHeight="1" x14ac:dyDescent="0.4">
      <c r="B782" s="25"/>
      <c r="C782" s="23"/>
    </row>
    <row r="783" spans="2:3" ht="18.75" customHeight="1" x14ac:dyDescent="0.4">
      <c r="B783" s="25"/>
      <c r="C783" s="23"/>
    </row>
    <row r="784" spans="2:3" ht="18.75" customHeight="1" x14ac:dyDescent="0.4">
      <c r="B784" s="25"/>
      <c r="C784" s="23"/>
    </row>
    <row r="785" spans="2:3" ht="18.75" customHeight="1" x14ac:dyDescent="0.4">
      <c r="B785" s="25"/>
      <c r="C785" s="23"/>
    </row>
    <row r="786" spans="2:3" ht="18.75" customHeight="1" x14ac:dyDescent="0.4">
      <c r="B786" s="25"/>
      <c r="C786" s="23"/>
    </row>
    <row r="787" spans="2:3" ht="18.75" customHeight="1" x14ac:dyDescent="0.4">
      <c r="B787" s="25"/>
      <c r="C787" s="23"/>
    </row>
    <row r="788" spans="2:3" ht="18.75" customHeight="1" x14ac:dyDescent="0.4">
      <c r="B788" s="25"/>
      <c r="C788" s="23"/>
    </row>
    <row r="789" spans="2:3" ht="18.75" customHeight="1" x14ac:dyDescent="0.4">
      <c r="B789" s="25"/>
      <c r="C789" s="23"/>
    </row>
    <row r="790" spans="2:3" ht="18.75" customHeight="1" x14ac:dyDescent="0.4">
      <c r="B790" s="25"/>
      <c r="C790" s="23"/>
    </row>
    <row r="791" spans="2:3" ht="18.75" customHeight="1" x14ac:dyDescent="0.4">
      <c r="B791" s="25"/>
      <c r="C791" s="23"/>
    </row>
    <row r="792" spans="2:3" ht="18.75" customHeight="1" x14ac:dyDescent="0.4">
      <c r="B792" s="25"/>
      <c r="C792" s="23"/>
    </row>
    <row r="793" spans="2:3" ht="18.75" customHeight="1" x14ac:dyDescent="0.4">
      <c r="B793" s="25"/>
      <c r="C793" s="23"/>
    </row>
    <row r="794" spans="2:3" ht="18.75" customHeight="1" x14ac:dyDescent="0.4">
      <c r="B794" s="25"/>
      <c r="C794" s="23"/>
    </row>
    <row r="795" spans="2:3" ht="18.75" customHeight="1" x14ac:dyDescent="0.4">
      <c r="B795" s="25"/>
      <c r="C795" s="23"/>
    </row>
    <row r="796" spans="2:3" ht="18.75" customHeight="1" x14ac:dyDescent="0.4">
      <c r="B796" s="25"/>
      <c r="C796" s="23"/>
    </row>
    <row r="797" spans="2:3" ht="18.75" customHeight="1" x14ac:dyDescent="0.4">
      <c r="B797" s="25"/>
      <c r="C797" s="23"/>
    </row>
    <row r="798" spans="2:3" ht="18.75" customHeight="1" x14ac:dyDescent="0.4">
      <c r="B798" s="25"/>
      <c r="C798" s="23"/>
    </row>
    <row r="799" spans="2:3" ht="18.75" customHeight="1" x14ac:dyDescent="0.4">
      <c r="B799" s="25"/>
      <c r="C799" s="23"/>
    </row>
    <row r="800" spans="2:3" ht="18.75" customHeight="1" x14ac:dyDescent="0.4">
      <c r="B800" s="25"/>
      <c r="C800" s="23"/>
    </row>
    <row r="801" spans="2:3" ht="18.75" customHeight="1" x14ac:dyDescent="0.4">
      <c r="B801" s="25"/>
      <c r="C801" s="23"/>
    </row>
    <row r="802" spans="2:3" ht="18.75" customHeight="1" x14ac:dyDescent="0.4">
      <c r="B802" s="25"/>
      <c r="C802" s="23"/>
    </row>
    <row r="803" spans="2:3" ht="18.75" customHeight="1" x14ac:dyDescent="0.4">
      <c r="B803" s="25"/>
      <c r="C803" s="23"/>
    </row>
    <row r="804" spans="2:3" ht="18.75" customHeight="1" x14ac:dyDescent="0.4">
      <c r="B804" s="25"/>
      <c r="C804" s="23"/>
    </row>
    <row r="805" spans="2:3" ht="18.75" customHeight="1" x14ac:dyDescent="0.4">
      <c r="B805" s="25"/>
      <c r="C805" s="23"/>
    </row>
    <row r="806" spans="2:3" ht="18.75" customHeight="1" x14ac:dyDescent="0.4">
      <c r="B806" s="25"/>
      <c r="C806" s="23"/>
    </row>
    <row r="807" spans="2:3" ht="18.75" customHeight="1" x14ac:dyDescent="0.4">
      <c r="B807" s="25"/>
      <c r="C807" s="23"/>
    </row>
    <row r="808" spans="2:3" ht="18.75" customHeight="1" x14ac:dyDescent="0.4">
      <c r="B808" s="25"/>
      <c r="C808" s="23"/>
    </row>
    <row r="809" spans="2:3" ht="18.75" customHeight="1" x14ac:dyDescent="0.4">
      <c r="B809" s="25"/>
      <c r="C809" s="23"/>
    </row>
    <row r="810" spans="2:3" ht="18.75" customHeight="1" x14ac:dyDescent="0.4">
      <c r="B810" s="25"/>
      <c r="C810" s="23"/>
    </row>
    <row r="811" spans="2:3" ht="18.75" customHeight="1" x14ac:dyDescent="0.4">
      <c r="B811" s="25"/>
      <c r="C811" s="23"/>
    </row>
    <row r="812" spans="2:3" ht="18.75" customHeight="1" x14ac:dyDescent="0.4">
      <c r="B812" s="25"/>
      <c r="C812" s="23"/>
    </row>
    <row r="813" spans="2:3" ht="18.75" customHeight="1" x14ac:dyDescent="0.4">
      <c r="B813" s="25"/>
      <c r="C813" s="23"/>
    </row>
    <row r="814" spans="2:3" ht="18.75" customHeight="1" x14ac:dyDescent="0.4">
      <c r="B814" s="25"/>
      <c r="C814" s="23"/>
    </row>
    <row r="815" spans="2:3" ht="18.75" customHeight="1" x14ac:dyDescent="0.4">
      <c r="B815" s="25"/>
      <c r="C815" s="23"/>
    </row>
    <row r="816" spans="2:3" ht="18.75" customHeight="1" x14ac:dyDescent="0.4">
      <c r="B816" s="25"/>
      <c r="C816" s="23"/>
    </row>
    <row r="817" spans="2:3" ht="18.75" customHeight="1" x14ac:dyDescent="0.4">
      <c r="B817" s="25"/>
      <c r="C817" s="23"/>
    </row>
    <row r="818" spans="2:3" ht="18.75" customHeight="1" x14ac:dyDescent="0.4">
      <c r="B818" s="25"/>
      <c r="C818" s="23"/>
    </row>
    <row r="819" spans="2:3" ht="18.75" customHeight="1" x14ac:dyDescent="0.4">
      <c r="B819" s="25"/>
      <c r="C819" s="23"/>
    </row>
    <row r="820" spans="2:3" ht="18.75" customHeight="1" x14ac:dyDescent="0.4">
      <c r="B820" s="25"/>
      <c r="C820" s="23"/>
    </row>
    <row r="821" spans="2:3" ht="18.75" customHeight="1" x14ac:dyDescent="0.4">
      <c r="B821" s="25"/>
      <c r="C821" s="23"/>
    </row>
    <row r="822" spans="2:3" ht="18.75" customHeight="1" x14ac:dyDescent="0.4">
      <c r="B822" s="25"/>
      <c r="C822" s="23"/>
    </row>
    <row r="823" spans="2:3" ht="18.75" customHeight="1" x14ac:dyDescent="0.4">
      <c r="B823" s="25"/>
      <c r="C823" s="23"/>
    </row>
    <row r="824" spans="2:3" ht="18.75" customHeight="1" x14ac:dyDescent="0.4">
      <c r="B824" s="25"/>
      <c r="C824" s="23"/>
    </row>
    <row r="825" spans="2:3" ht="18.75" customHeight="1" x14ac:dyDescent="0.4">
      <c r="B825" s="25"/>
      <c r="C825" s="23"/>
    </row>
    <row r="826" spans="2:3" ht="18.75" customHeight="1" x14ac:dyDescent="0.4">
      <c r="B826" s="25"/>
      <c r="C826" s="23"/>
    </row>
    <row r="827" spans="2:3" ht="18.75" customHeight="1" x14ac:dyDescent="0.4">
      <c r="B827" s="25"/>
      <c r="C827" s="23"/>
    </row>
    <row r="828" spans="2:3" ht="18.75" customHeight="1" x14ac:dyDescent="0.4">
      <c r="B828" s="25"/>
      <c r="C828" s="23"/>
    </row>
    <row r="829" spans="2:3" ht="18.75" customHeight="1" x14ac:dyDescent="0.4">
      <c r="B829" s="25"/>
      <c r="C829" s="23"/>
    </row>
    <row r="830" spans="2:3" ht="18.75" customHeight="1" x14ac:dyDescent="0.4">
      <c r="B830" s="25"/>
      <c r="C830" s="23"/>
    </row>
    <row r="831" spans="2:3" ht="18.75" customHeight="1" x14ac:dyDescent="0.4">
      <c r="B831" s="25"/>
      <c r="C831" s="23"/>
    </row>
    <row r="832" spans="2:3" ht="18.75" customHeight="1" x14ac:dyDescent="0.4">
      <c r="B832" s="25"/>
      <c r="C832" s="23"/>
    </row>
    <row r="833" spans="2:3" ht="18.75" customHeight="1" x14ac:dyDescent="0.4">
      <c r="B833" s="25"/>
      <c r="C833" s="23"/>
    </row>
    <row r="834" spans="2:3" ht="18.75" customHeight="1" x14ac:dyDescent="0.4">
      <c r="B834" s="25"/>
      <c r="C834" s="23"/>
    </row>
    <row r="835" spans="2:3" ht="18.75" customHeight="1" x14ac:dyDescent="0.4">
      <c r="B835" s="25"/>
      <c r="C835" s="23"/>
    </row>
    <row r="836" spans="2:3" ht="18.75" customHeight="1" x14ac:dyDescent="0.4">
      <c r="B836" s="25"/>
      <c r="C836" s="23"/>
    </row>
    <row r="837" spans="2:3" ht="18.75" customHeight="1" x14ac:dyDescent="0.4">
      <c r="B837" s="25"/>
      <c r="C837" s="23"/>
    </row>
    <row r="838" spans="2:3" ht="18.75" customHeight="1" x14ac:dyDescent="0.4">
      <c r="B838" s="25"/>
      <c r="C838" s="23"/>
    </row>
    <row r="839" spans="2:3" ht="18.75" customHeight="1" x14ac:dyDescent="0.4">
      <c r="B839" s="25"/>
      <c r="C839" s="23"/>
    </row>
    <row r="840" spans="2:3" ht="18.75" customHeight="1" x14ac:dyDescent="0.4">
      <c r="B840" s="25"/>
      <c r="C840" s="23"/>
    </row>
    <row r="841" spans="2:3" ht="18.75" customHeight="1" x14ac:dyDescent="0.4">
      <c r="B841" s="25"/>
      <c r="C841" s="23"/>
    </row>
    <row r="842" spans="2:3" ht="18.75" customHeight="1" x14ac:dyDescent="0.4">
      <c r="B842" s="25"/>
      <c r="C842" s="23"/>
    </row>
    <row r="843" spans="2:3" ht="18.75" customHeight="1" x14ac:dyDescent="0.4">
      <c r="B843" s="25"/>
      <c r="C843" s="23"/>
    </row>
    <row r="844" spans="2:3" ht="18.75" customHeight="1" x14ac:dyDescent="0.4">
      <c r="B844" s="25"/>
      <c r="C844" s="23"/>
    </row>
    <row r="845" spans="2:3" ht="18.75" customHeight="1" x14ac:dyDescent="0.4">
      <c r="B845" s="25"/>
      <c r="C845" s="23"/>
    </row>
    <row r="846" spans="2:3" ht="18.75" customHeight="1" x14ac:dyDescent="0.4">
      <c r="B846" s="25"/>
      <c r="C846" s="23"/>
    </row>
    <row r="847" spans="2:3" ht="18.75" customHeight="1" x14ac:dyDescent="0.4">
      <c r="B847" s="25"/>
      <c r="C847" s="23"/>
    </row>
    <row r="848" spans="2:3" ht="18.75" customHeight="1" x14ac:dyDescent="0.4">
      <c r="B848" s="25"/>
      <c r="C848" s="23"/>
    </row>
    <row r="849" spans="2:3" ht="18.75" customHeight="1" x14ac:dyDescent="0.4">
      <c r="B849" s="25"/>
      <c r="C849" s="23"/>
    </row>
    <row r="850" spans="2:3" ht="18.75" customHeight="1" x14ac:dyDescent="0.4">
      <c r="B850" s="25"/>
      <c r="C850" s="23"/>
    </row>
    <row r="851" spans="2:3" ht="18.75" customHeight="1" x14ac:dyDescent="0.4">
      <c r="B851" s="25"/>
      <c r="C851" s="23"/>
    </row>
    <row r="852" spans="2:3" ht="18.75" customHeight="1" x14ac:dyDescent="0.4">
      <c r="B852" s="25"/>
      <c r="C852" s="23"/>
    </row>
    <row r="853" spans="2:3" ht="18.75" customHeight="1" x14ac:dyDescent="0.4">
      <c r="B853" s="25"/>
      <c r="C853" s="23"/>
    </row>
    <row r="854" spans="2:3" ht="18.75" customHeight="1" x14ac:dyDescent="0.4">
      <c r="B854" s="25"/>
      <c r="C854" s="23"/>
    </row>
    <row r="855" spans="2:3" ht="18.75" customHeight="1" x14ac:dyDescent="0.4">
      <c r="B855" s="25"/>
      <c r="C855" s="23"/>
    </row>
    <row r="856" spans="2:3" ht="18.75" customHeight="1" x14ac:dyDescent="0.4">
      <c r="B856" s="25"/>
      <c r="C856" s="23"/>
    </row>
    <row r="857" spans="2:3" ht="18.75" customHeight="1" x14ac:dyDescent="0.4">
      <c r="B857" s="25"/>
      <c r="C857" s="23"/>
    </row>
    <row r="858" spans="2:3" ht="18.75" customHeight="1" x14ac:dyDescent="0.4">
      <c r="B858" s="25"/>
      <c r="C858" s="23"/>
    </row>
    <row r="859" spans="2:3" ht="18.75" customHeight="1" x14ac:dyDescent="0.4">
      <c r="B859" s="25"/>
      <c r="C859" s="23"/>
    </row>
    <row r="860" spans="2:3" ht="18.75" customHeight="1" x14ac:dyDescent="0.4">
      <c r="B860" s="25"/>
      <c r="C860" s="23"/>
    </row>
    <row r="861" spans="2:3" ht="18.75" customHeight="1" x14ac:dyDescent="0.4">
      <c r="B861" s="25"/>
      <c r="C861" s="23"/>
    </row>
    <row r="862" spans="2:3" ht="18.75" customHeight="1" x14ac:dyDescent="0.4">
      <c r="B862" s="25"/>
      <c r="C862" s="23"/>
    </row>
    <row r="863" spans="2:3" ht="18.75" customHeight="1" x14ac:dyDescent="0.4">
      <c r="B863" s="25"/>
      <c r="C863" s="23"/>
    </row>
    <row r="864" spans="2:3" ht="18.75" customHeight="1" x14ac:dyDescent="0.4">
      <c r="B864" s="25"/>
      <c r="C864" s="23"/>
    </row>
    <row r="865" spans="2:3" ht="18.75" customHeight="1" x14ac:dyDescent="0.4">
      <c r="B865" s="25"/>
      <c r="C865" s="23"/>
    </row>
    <row r="866" spans="2:3" ht="18.75" customHeight="1" x14ac:dyDescent="0.4">
      <c r="B866" s="25"/>
      <c r="C866" s="23"/>
    </row>
    <row r="867" spans="2:3" ht="18.75" customHeight="1" x14ac:dyDescent="0.4">
      <c r="B867" s="25"/>
      <c r="C867" s="23"/>
    </row>
    <row r="868" spans="2:3" ht="18.75" customHeight="1" x14ac:dyDescent="0.4">
      <c r="B868" s="25"/>
      <c r="C868" s="23"/>
    </row>
    <row r="869" spans="2:3" ht="18.75" customHeight="1" x14ac:dyDescent="0.4">
      <c r="B869" s="25"/>
      <c r="C869" s="23"/>
    </row>
    <row r="870" spans="2:3" ht="18.75" customHeight="1" x14ac:dyDescent="0.4">
      <c r="B870" s="25"/>
      <c r="C870" s="23"/>
    </row>
    <row r="871" spans="2:3" ht="18.75" customHeight="1" x14ac:dyDescent="0.4">
      <c r="B871" s="25"/>
      <c r="C871" s="23"/>
    </row>
    <row r="872" spans="2:3" ht="18.75" customHeight="1" x14ac:dyDescent="0.4">
      <c r="B872" s="25"/>
      <c r="C872" s="23"/>
    </row>
    <row r="873" spans="2:3" ht="18.75" customHeight="1" x14ac:dyDescent="0.4">
      <c r="B873" s="25"/>
      <c r="C873" s="23"/>
    </row>
    <row r="874" spans="2:3" ht="18.75" customHeight="1" x14ac:dyDescent="0.4">
      <c r="B874" s="25"/>
      <c r="C874" s="23"/>
    </row>
    <row r="875" spans="2:3" ht="18.75" customHeight="1" x14ac:dyDescent="0.4">
      <c r="B875" s="25"/>
      <c r="C875" s="23"/>
    </row>
    <row r="876" spans="2:3" ht="18.75" customHeight="1" x14ac:dyDescent="0.4">
      <c r="B876" s="25"/>
      <c r="C876" s="23"/>
    </row>
    <row r="877" spans="2:3" ht="18.75" customHeight="1" x14ac:dyDescent="0.4">
      <c r="B877" s="25"/>
      <c r="C877" s="23"/>
    </row>
    <row r="878" spans="2:3" ht="18.75" customHeight="1" x14ac:dyDescent="0.4">
      <c r="B878" s="25"/>
      <c r="C878" s="23"/>
    </row>
    <row r="879" spans="2:3" ht="18.75" customHeight="1" x14ac:dyDescent="0.4">
      <c r="B879" s="25"/>
      <c r="C879" s="23"/>
    </row>
    <row r="880" spans="2:3" ht="18.75" customHeight="1" x14ac:dyDescent="0.4">
      <c r="B880" s="25"/>
      <c r="C880" s="23"/>
    </row>
    <row r="881" spans="2:3" ht="18.75" customHeight="1" x14ac:dyDescent="0.4">
      <c r="B881" s="25"/>
      <c r="C881" s="23"/>
    </row>
    <row r="882" spans="2:3" ht="18.75" customHeight="1" x14ac:dyDescent="0.4">
      <c r="B882" s="25"/>
      <c r="C882" s="23"/>
    </row>
    <row r="883" spans="2:3" ht="18.75" customHeight="1" x14ac:dyDescent="0.4">
      <c r="B883" s="25"/>
      <c r="C883" s="23"/>
    </row>
    <row r="884" spans="2:3" ht="18.75" customHeight="1" x14ac:dyDescent="0.4">
      <c r="B884" s="25"/>
      <c r="C884" s="23"/>
    </row>
    <row r="885" spans="2:3" ht="18.75" customHeight="1" x14ac:dyDescent="0.4">
      <c r="B885" s="25"/>
      <c r="C885" s="23"/>
    </row>
    <row r="886" spans="2:3" ht="18.75" customHeight="1" x14ac:dyDescent="0.4">
      <c r="B886" s="25"/>
      <c r="C886" s="23"/>
    </row>
    <row r="887" spans="2:3" ht="18.75" customHeight="1" x14ac:dyDescent="0.4">
      <c r="B887" s="25"/>
      <c r="C887" s="23"/>
    </row>
    <row r="888" spans="2:3" ht="18.75" customHeight="1" x14ac:dyDescent="0.4">
      <c r="B888" s="25"/>
      <c r="C888" s="23"/>
    </row>
    <row r="889" spans="2:3" ht="18.75" customHeight="1" x14ac:dyDescent="0.4">
      <c r="B889" s="25"/>
      <c r="C889" s="23"/>
    </row>
    <row r="890" spans="2:3" ht="18.75" customHeight="1" x14ac:dyDescent="0.4">
      <c r="B890" s="25"/>
      <c r="C890" s="23"/>
    </row>
    <row r="891" spans="2:3" ht="18.75" customHeight="1" x14ac:dyDescent="0.4">
      <c r="B891" s="25"/>
      <c r="C891" s="23"/>
    </row>
    <row r="892" spans="2:3" ht="18.75" customHeight="1" x14ac:dyDescent="0.4">
      <c r="B892" s="25"/>
      <c r="C892" s="23"/>
    </row>
    <row r="893" spans="2:3" ht="18.75" customHeight="1" x14ac:dyDescent="0.4">
      <c r="B893" s="25"/>
      <c r="C893" s="23"/>
    </row>
    <row r="894" spans="2:3" ht="18.75" customHeight="1" x14ac:dyDescent="0.4">
      <c r="B894" s="25"/>
      <c r="C894" s="23"/>
    </row>
    <row r="895" spans="2:3" ht="18.75" customHeight="1" x14ac:dyDescent="0.4">
      <c r="B895" s="25"/>
      <c r="C895" s="23"/>
    </row>
    <row r="896" spans="2:3" ht="18.75" customHeight="1" x14ac:dyDescent="0.4">
      <c r="B896" s="25"/>
      <c r="C896" s="23"/>
    </row>
    <row r="897" spans="2:3" ht="18.75" customHeight="1" x14ac:dyDescent="0.4">
      <c r="B897" s="25"/>
      <c r="C897" s="23"/>
    </row>
    <row r="898" spans="2:3" ht="18.75" customHeight="1" x14ac:dyDescent="0.4">
      <c r="B898" s="25"/>
      <c r="C898" s="23"/>
    </row>
    <row r="899" spans="2:3" ht="18.75" customHeight="1" x14ac:dyDescent="0.4">
      <c r="B899" s="25"/>
      <c r="C899" s="23"/>
    </row>
    <row r="900" spans="2:3" ht="18.75" customHeight="1" x14ac:dyDescent="0.4">
      <c r="B900" s="25"/>
      <c r="C900" s="23"/>
    </row>
    <row r="901" spans="2:3" ht="18.75" customHeight="1" x14ac:dyDescent="0.4">
      <c r="B901" s="25"/>
      <c r="C901" s="23"/>
    </row>
    <row r="902" spans="2:3" ht="18.75" customHeight="1" x14ac:dyDescent="0.4">
      <c r="B902" s="25"/>
      <c r="C902" s="23"/>
    </row>
    <row r="903" spans="2:3" ht="18.75" customHeight="1" x14ac:dyDescent="0.4">
      <c r="B903" s="25"/>
      <c r="C903" s="23"/>
    </row>
    <row r="904" spans="2:3" ht="18.75" customHeight="1" x14ac:dyDescent="0.4">
      <c r="B904" s="25"/>
      <c r="C904" s="23"/>
    </row>
    <row r="905" spans="2:3" ht="18.75" customHeight="1" x14ac:dyDescent="0.4">
      <c r="B905" s="25"/>
      <c r="C905" s="23"/>
    </row>
    <row r="906" spans="2:3" ht="18.75" customHeight="1" x14ac:dyDescent="0.4">
      <c r="B906" s="25"/>
      <c r="C906" s="23"/>
    </row>
    <row r="907" spans="2:3" ht="18.75" customHeight="1" x14ac:dyDescent="0.4">
      <c r="B907" s="25"/>
      <c r="C907" s="23"/>
    </row>
    <row r="908" spans="2:3" ht="18.75" customHeight="1" x14ac:dyDescent="0.4">
      <c r="B908" s="25"/>
      <c r="C908" s="23"/>
    </row>
    <row r="909" spans="2:3" ht="18.75" customHeight="1" x14ac:dyDescent="0.4">
      <c r="B909" s="25"/>
      <c r="C909" s="23"/>
    </row>
    <row r="910" spans="2:3" ht="18.75" customHeight="1" x14ac:dyDescent="0.4">
      <c r="B910" s="25"/>
      <c r="C910" s="23"/>
    </row>
    <row r="911" spans="2:3" ht="18.75" customHeight="1" x14ac:dyDescent="0.4">
      <c r="B911" s="25"/>
      <c r="C911" s="23"/>
    </row>
    <row r="912" spans="2:3" ht="18.75" customHeight="1" x14ac:dyDescent="0.4">
      <c r="B912" s="25"/>
      <c r="C912" s="23"/>
    </row>
    <row r="913" spans="2:3" ht="18.75" customHeight="1" x14ac:dyDescent="0.4">
      <c r="B913" s="25"/>
      <c r="C913" s="23"/>
    </row>
    <row r="914" spans="2:3" ht="18.75" customHeight="1" x14ac:dyDescent="0.4">
      <c r="B914" s="25"/>
      <c r="C914" s="23"/>
    </row>
    <row r="915" spans="2:3" ht="18.75" customHeight="1" x14ac:dyDescent="0.4">
      <c r="B915" s="25"/>
      <c r="C915" s="23"/>
    </row>
    <row r="916" spans="2:3" ht="18.75" customHeight="1" x14ac:dyDescent="0.4">
      <c r="B916" s="25"/>
      <c r="C916" s="23"/>
    </row>
    <row r="917" spans="2:3" ht="18.75" customHeight="1" x14ac:dyDescent="0.4">
      <c r="B917" s="25"/>
      <c r="C917" s="23"/>
    </row>
    <row r="918" spans="2:3" ht="18.75" customHeight="1" x14ac:dyDescent="0.4">
      <c r="B918" s="25"/>
      <c r="C918" s="23"/>
    </row>
    <row r="919" spans="2:3" ht="18.75" customHeight="1" x14ac:dyDescent="0.4">
      <c r="B919" s="25"/>
      <c r="C919" s="23"/>
    </row>
    <row r="920" spans="2:3" ht="18.75" customHeight="1" x14ac:dyDescent="0.4">
      <c r="B920" s="25"/>
      <c r="C920" s="23"/>
    </row>
    <row r="921" spans="2:3" ht="18.75" customHeight="1" x14ac:dyDescent="0.4">
      <c r="B921" s="25"/>
      <c r="C921" s="23"/>
    </row>
    <row r="922" spans="2:3" ht="18.75" customHeight="1" x14ac:dyDescent="0.4">
      <c r="B922" s="25"/>
      <c r="C922" s="23"/>
    </row>
    <row r="923" spans="2:3" ht="18.75" customHeight="1" x14ac:dyDescent="0.4">
      <c r="B923" s="25"/>
      <c r="C923" s="23"/>
    </row>
    <row r="924" spans="2:3" ht="18.75" customHeight="1" x14ac:dyDescent="0.4">
      <c r="B924" s="25"/>
      <c r="C924" s="23"/>
    </row>
    <row r="925" spans="2:3" ht="18.75" customHeight="1" x14ac:dyDescent="0.4">
      <c r="B925" s="25"/>
      <c r="C925" s="23"/>
    </row>
    <row r="926" spans="2:3" ht="18.75" customHeight="1" x14ac:dyDescent="0.4">
      <c r="B926" s="25"/>
      <c r="C926" s="23"/>
    </row>
    <row r="927" spans="2:3" ht="18.75" customHeight="1" x14ac:dyDescent="0.4">
      <c r="B927" s="25"/>
      <c r="C927" s="23"/>
    </row>
    <row r="928" spans="2:3" ht="18.75" customHeight="1" x14ac:dyDescent="0.4">
      <c r="B928" s="25"/>
      <c r="C928" s="23"/>
    </row>
    <row r="929" spans="2:3" ht="18.75" customHeight="1" x14ac:dyDescent="0.4">
      <c r="B929" s="25"/>
      <c r="C929" s="23"/>
    </row>
    <row r="930" spans="2:3" ht="18.75" customHeight="1" x14ac:dyDescent="0.4">
      <c r="B930" s="25"/>
      <c r="C930" s="23"/>
    </row>
    <row r="931" spans="2:3" ht="18.75" customHeight="1" x14ac:dyDescent="0.4">
      <c r="B931" s="25"/>
      <c r="C931" s="23"/>
    </row>
    <row r="932" spans="2:3" ht="18.75" customHeight="1" x14ac:dyDescent="0.4">
      <c r="B932" s="25"/>
      <c r="C932" s="23"/>
    </row>
    <row r="933" spans="2:3" ht="18.75" customHeight="1" x14ac:dyDescent="0.4">
      <c r="B933" s="25"/>
      <c r="C933" s="23"/>
    </row>
    <row r="934" spans="2:3" ht="18.75" customHeight="1" x14ac:dyDescent="0.4">
      <c r="B934" s="25"/>
      <c r="C934" s="23"/>
    </row>
    <row r="935" spans="2:3" ht="18.75" customHeight="1" x14ac:dyDescent="0.4">
      <c r="B935" s="25"/>
      <c r="C935" s="23"/>
    </row>
    <row r="936" spans="2:3" ht="18.75" customHeight="1" x14ac:dyDescent="0.4">
      <c r="B936" s="25"/>
      <c r="C936" s="23"/>
    </row>
    <row r="937" spans="2:3" ht="18.75" customHeight="1" x14ac:dyDescent="0.4">
      <c r="B937" s="25"/>
      <c r="C937" s="23"/>
    </row>
    <row r="938" spans="2:3" ht="18.75" customHeight="1" x14ac:dyDescent="0.4">
      <c r="B938" s="25"/>
      <c r="C938" s="23"/>
    </row>
    <row r="939" spans="2:3" ht="18.75" customHeight="1" x14ac:dyDescent="0.4">
      <c r="B939" s="25"/>
      <c r="C939" s="23"/>
    </row>
    <row r="940" spans="2:3" ht="18.75" customHeight="1" x14ac:dyDescent="0.4">
      <c r="B940" s="25"/>
      <c r="C940" s="23"/>
    </row>
    <row r="941" spans="2:3" ht="18.75" customHeight="1" x14ac:dyDescent="0.4">
      <c r="B941" s="25"/>
      <c r="C941" s="23"/>
    </row>
    <row r="942" spans="2:3" ht="18.75" customHeight="1" x14ac:dyDescent="0.4">
      <c r="B942" s="25"/>
      <c r="C942" s="23"/>
    </row>
    <row r="943" spans="2:3" ht="18.75" customHeight="1" x14ac:dyDescent="0.4">
      <c r="B943" s="25"/>
      <c r="C943" s="23"/>
    </row>
    <row r="944" spans="2:3" ht="18.75" customHeight="1" x14ac:dyDescent="0.4">
      <c r="B944" s="25"/>
      <c r="C944" s="23"/>
    </row>
    <row r="945" spans="2:3" ht="18.75" customHeight="1" x14ac:dyDescent="0.4">
      <c r="B945" s="25"/>
      <c r="C945" s="23"/>
    </row>
    <row r="946" spans="2:3" ht="18.75" customHeight="1" x14ac:dyDescent="0.4">
      <c r="B946" s="25"/>
      <c r="C946" s="23"/>
    </row>
    <row r="947" spans="2:3" ht="18.75" customHeight="1" x14ac:dyDescent="0.4">
      <c r="B947" s="25"/>
      <c r="C947" s="23"/>
    </row>
    <row r="948" spans="2:3" ht="18.75" customHeight="1" x14ac:dyDescent="0.4">
      <c r="B948" s="25"/>
      <c r="C948" s="23"/>
    </row>
    <row r="949" spans="2:3" ht="18.75" customHeight="1" x14ac:dyDescent="0.4">
      <c r="B949" s="25"/>
      <c r="C949" s="23"/>
    </row>
    <row r="950" spans="2:3" ht="18.75" customHeight="1" x14ac:dyDescent="0.4">
      <c r="B950" s="25"/>
      <c r="C950" s="23"/>
    </row>
    <row r="951" spans="2:3" ht="18.75" customHeight="1" x14ac:dyDescent="0.4">
      <c r="B951" s="25"/>
      <c r="C951" s="23"/>
    </row>
    <row r="952" spans="2:3" ht="18.75" customHeight="1" x14ac:dyDescent="0.4">
      <c r="B952" s="25"/>
      <c r="C952" s="23"/>
    </row>
    <row r="953" spans="2:3" ht="18.75" customHeight="1" x14ac:dyDescent="0.4">
      <c r="B953" s="25"/>
      <c r="C953" s="23"/>
    </row>
    <row r="954" spans="2:3" ht="18.75" customHeight="1" x14ac:dyDescent="0.4">
      <c r="B954" s="25"/>
      <c r="C954" s="23"/>
    </row>
    <row r="955" spans="2:3" ht="18.75" customHeight="1" x14ac:dyDescent="0.4">
      <c r="B955" s="25"/>
      <c r="C955" s="23"/>
    </row>
    <row r="956" spans="2:3" ht="18.75" customHeight="1" x14ac:dyDescent="0.4">
      <c r="B956" s="25"/>
      <c r="C956" s="23"/>
    </row>
    <row r="957" spans="2:3" ht="18.75" customHeight="1" x14ac:dyDescent="0.4">
      <c r="B957" s="25"/>
      <c r="C957" s="23"/>
    </row>
    <row r="958" spans="2:3" ht="18.75" customHeight="1" x14ac:dyDescent="0.4">
      <c r="B958" s="25"/>
      <c r="C958" s="23"/>
    </row>
    <row r="959" spans="2:3" ht="18.75" customHeight="1" x14ac:dyDescent="0.4">
      <c r="B959" s="25"/>
      <c r="C959" s="23"/>
    </row>
    <row r="960" spans="2:3" ht="18.75" customHeight="1" x14ac:dyDescent="0.4">
      <c r="B960" s="25"/>
      <c r="C960" s="23"/>
    </row>
    <row r="961" spans="2:3" ht="18.75" customHeight="1" x14ac:dyDescent="0.4">
      <c r="B961" s="25"/>
      <c r="C961" s="23"/>
    </row>
    <row r="962" spans="2:3" ht="18.75" customHeight="1" x14ac:dyDescent="0.4">
      <c r="B962" s="25"/>
      <c r="C962" s="23"/>
    </row>
    <row r="963" spans="2:3" ht="18.75" customHeight="1" x14ac:dyDescent="0.4">
      <c r="B963" s="25"/>
      <c r="C963" s="23"/>
    </row>
    <row r="964" spans="2:3" ht="18.75" customHeight="1" x14ac:dyDescent="0.4">
      <c r="B964" s="25"/>
      <c r="C964" s="23"/>
    </row>
    <row r="965" spans="2:3" ht="18.75" customHeight="1" x14ac:dyDescent="0.4">
      <c r="B965" s="25"/>
      <c r="C965" s="23"/>
    </row>
    <row r="966" spans="2:3" ht="18.75" customHeight="1" x14ac:dyDescent="0.4">
      <c r="B966" s="25"/>
      <c r="C966" s="23"/>
    </row>
    <row r="967" spans="2:3" ht="18.75" customHeight="1" x14ac:dyDescent="0.4">
      <c r="B967" s="25"/>
      <c r="C967" s="23"/>
    </row>
    <row r="968" spans="2:3" ht="18.75" customHeight="1" x14ac:dyDescent="0.4">
      <c r="B968" s="25"/>
      <c r="C968" s="23"/>
    </row>
    <row r="969" spans="2:3" ht="18.75" customHeight="1" x14ac:dyDescent="0.4">
      <c r="B969" s="25"/>
      <c r="C969" s="23"/>
    </row>
    <row r="970" spans="2:3" ht="18.75" customHeight="1" x14ac:dyDescent="0.4">
      <c r="B970" s="25"/>
      <c r="C970" s="23"/>
    </row>
    <row r="971" spans="2:3" ht="18.75" customHeight="1" x14ac:dyDescent="0.4">
      <c r="B971" s="25"/>
      <c r="C971" s="23"/>
    </row>
    <row r="972" spans="2:3" ht="18.75" customHeight="1" x14ac:dyDescent="0.4">
      <c r="B972" s="25"/>
      <c r="C972" s="23"/>
    </row>
    <row r="973" spans="2:3" ht="18.75" customHeight="1" x14ac:dyDescent="0.4">
      <c r="B973" s="25"/>
      <c r="C973" s="23"/>
    </row>
    <row r="974" spans="2:3" ht="18.75" customHeight="1" x14ac:dyDescent="0.4">
      <c r="B974" s="25"/>
      <c r="C974" s="23"/>
    </row>
    <row r="975" spans="2:3" ht="18.75" customHeight="1" x14ac:dyDescent="0.4">
      <c r="B975" s="25"/>
      <c r="C975" s="23"/>
    </row>
    <row r="976" spans="2:3" ht="18.75" customHeight="1" x14ac:dyDescent="0.4">
      <c r="B976" s="25"/>
      <c r="C976" s="23"/>
    </row>
    <row r="977" spans="2:3" ht="18.75" customHeight="1" x14ac:dyDescent="0.4">
      <c r="B977" s="25"/>
      <c r="C977" s="23"/>
    </row>
    <row r="978" spans="2:3" ht="18.75" customHeight="1" x14ac:dyDescent="0.4">
      <c r="B978" s="25"/>
      <c r="C978" s="23"/>
    </row>
    <row r="979" spans="2:3" ht="18.75" customHeight="1" x14ac:dyDescent="0.4">
      <c r="B979" s="25"/>
      <c r="C979" s="23"/>
    </row>
    <row r="980" spans="2:3" ht="18.75" customHeight="1" x14ac:dyDescent="0.4">
      <c r="B980" s="25"/>
      <c r="C980" s="23"/>
    </row>
    <row r="981" spans="2:3" ht="18.75" customHeight="1" x14ac:dyDescent="0.4">
      <c r="B981" s="25"/>
      <c r="C981" s="23"/>
    </row>
    <row r="982" spans="2:3" ht="18.75" customHeight="1" x14ac:dyDescent="0.4">
      <c r="B982" s="25"/>
      <c r="C982" s="23"/>
    </row>
    <row r="983" spans="2:3" ht="18.75" customHeight="1" x14ac:dyDescent="0.4">
      <c r="B983" s="25"/>
      <c r="C983" s="23"/>
    </row>
    <row r="984" spans="2:3" ht="18.75" customHeight="1" x14ac:dyDescent="0.4">
      <c r="B984" s="25"/>
      <c r="C984" s="23"/>
    </row>
    <row r="985" spans="2:3" ht="18.75" customHeight="1" x14ac:dyDescent="0.4">
      <c r="B985" s="25"/>
      <c r="C985" s="23"/>
    </row>
    <row r="986" spans="2:3" ht="18.75" customHeight="1" x14ac:dyDescent="0.4">
      <c r="B986" s="25"/>
      <c r="C986" s="23"/>
    </row>
    <row r="987" spans="2:3" ht="18.75" customHeight="1" x14ac:dyDescent="0.4">
      <c r="B987" s="25"/>
      <c r="C987" s="23"/>
    </row>
    <row r="988" spans="2:3" ht="18.75" customHeight="1" x14ac:dyDescent="0.4">
      <c r="B988" s="25"/>
      <c r="C988" s="23"/>
    </row>
    <row r="989" spans="2:3" ht="18.75" customHeight="1" x14ac:dyDescent="0.4">
      <c r="B989" s="25"/>
      <c r="C989" s="23"/>
    </row>
    <row r="990" spans="2:3" ht="18.75" customHeight="1" x14ac:dyDescent="0.4">
      <c r="B990" s="25"/>
      <c r="C990" s="23"/>
    </row>
    <row r="991" spans="2:3" ht="18.75" customHeight="1" x14ac:dyDescent="0.4">
      <c r="B991" s="25"/>
      <c r="C991" s="23"/>
    </row>
    <row r="992" spans="2:3" ht="18.75" customHeight="1" x14ac:dyDescent="0.4">
      <c r="B992" s="25"/>
      <c r="C992" s="23"/>
    </row>
    <row r="993" spans="2:3" ht="18.75" customHeight="1" x14ac:dyDescent="0.4">
      <c r="B993" s="25"/>
      <c r="C993" s="23"/>
    </row>
    <row r="994" spans="2:3" ht="18.75" customHeight="1" x14ac:dyDescent="0.4">
      <c r="B994" s="25"/>
      <c r="C994" s="23"/>
    </row>
    <row r="995" spans="2:3" ht="18.75" customHeight="1" x14ac:dyDescent="0.4">
      <c r="B995" s="25"/>
      <c r="C995" s="23"/>
    </row>
    <row r="996" spans="2:3" ht="18.75" customHeight="1" x14ac:dyDescent="0.4">
      <c r="B996" s="25"/>
      <c r="C996" s="23"/>
    </row>
    <row r="997" spans="2:3" ht="18.75" customHeight="1" x14ac:dyDescent="0.4">
      <c r="B997" s="25"/>
      <c r="C997" s="23"/>
    </row>
    <row r="998" spans="2:3" ht="18.75" customHeight="1" x14ac:dyDescent="0.4">
      <c r="B998" s="25"/>
      <c r="C998" s="23"/>
    </row>
    <row r="999" spans="2:3" ht="18.75" customHeight="1" x14ac:dyDescent="0.4">
      <c r="B999" s="25"/>
      <c r="C999" s="23"/>
    </row>
    <row r="1000" spans="2:3" ht="18.75" customHeight="1" x14ac:dyDescent="0.4">
      <c r="B1000" s="25"/>
      <c r="C1000" s="23"/>
    </row>
  </sheetData>
  <mergeCells count="9">
    <mergeCell ref="A28:A36"/>
    <mergeCell ref="A37:A41"/>
    <mergeCell ref="A1:F1"/>
    <mergeCell ref="A2:B2"/>
    <mergeCell ref="D2:E2"/>
    <mergeCell ref="A3:B3"/>
    <mergeCell ref="D3:F3"/>
    <mergeCell ref="A5:A6"/>
    <mergeCell ref="A7:A27"/>
  </mergeCells>
  <dataValidations count="1">
    <dataValidation type="list" allowBlank="1" showErrorMessage="1" sqref="D6 D8:D12 D14:D18 D20:D21 D23:D24 D26:D27 D29:D36 D38:D41" xr:uid="{00000000-0002-0000-0200-000000000000}">
      <formula1>"Sim,Parcialmente,Não,NA"</formula1>
    </dataValidation>
  </dataValidations>
  <pageMargins left="0.511811024" right="0.511811024" top="0.78740157499999996" bottom="0.78740157499999996" header="0" footer="0"/>
  <pageSetup paperSize="9"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>
      <selection activeCell="D6" sqref="D6"/>
    </sheetView>
  </sheetViews>
  <sheetFormatPr defaultColWidth="14.42578125" defaultRowHeight="15" customHeight="1" x14ac:dyDescent="0.25"/>
  <cols>
    <col min="1" max="1" width="21.140625" customWidth="1"/>
    <col min="2" max="2" width="5.28515625" customWidth="1"/>
    <col min="3" max="3" width="130.5703125" bestFit="1" customWidth="1"/>
    <col min="4" max="4" width="12.7109375" customWidth="1"/>
    <col min="5" max="5" width="29.7109375" customWidth="1"/>
    <col min="6" max="6" width="32.7109375" customWidth="1"/>
    <col min="7" max="10" width="8.7109375" hidden="1" customWidth="1"/>
    <col min="11" max="26" width="8.7109375" customWidth="1"/>
  </cols>
  <sheetData>
    <row r="1" spans="1:26" ht="19.5" customHeight="1" x14ac:dyDescent="0.25">
      <c r="A1" s="36" t="s">
        <v>29</v>
      </c>
      <c r="B1" s="37"/>
      <c r="C1" s="37"/>
      <c r="D1" s="37"/>
      <c r="E1" s="37"/>
      <c r="F1" s="38"/>
    </row>
    <row r="2" spans="1:26" ht="18.75" customHeight="1" x14ac:dyDescent="0.25">
      <c r="A2" s="39" t="s">
        <v>30</v>
      </c>
      <c r="B2" s="38"/>
      <c r="C2" s="8">
        <v>46141</v>
      </c>
      <c r="D2" s="40" t="s">
        <v>31</v>
      </c>
      <c r="E2" s="41"/>
      <c r="F2" s="9">
        <f>COUNTIF(D5:D41,"Sim")/(COUNTA(D5:D42)-COUNTIF(D5:D42,"NA"))</f>
        <v>0.85</v>
      </c>
    </row>
    <row r="3" spans="1:26" ht="18.75" customHeight="1" x14ac:dyDescent="0.25">
      <c r="A3" s="39" t="s">
        <v>32</v>
      </c>
      <c r="B3" s="38"/>
      <c r="C3" s="10" t="s">
        <v>119</v>
      </c>
      <c r="D3" s="42" t="s">
        <v>34</v>
      </c>
      <c r="E3" s="43"/>
      <c r="F3" s="44"/>
    </row>
    <row r="4" spans="1:26" ht="18.75" customHeight="1" x14ac:dyDescent="0.25">
      <c r="A4" s="11" t="s">
        <v>35</v>
      </c>
      <c r="B4" s="11" t="s">
        <v>36</v>
      </c>
      <c r="C4" s="11" t="s">
        <v>37</v>
      </c>
      <c r="D4" s="27" t="s">
        <v>38</v>
      </c>
      <c r="E4" s="11" t="s">
        <v>39</v>
      </c>
      <c r="F4" s="11" t="s">
        <v>40</v>
      </c>
    </row>
    <row r="5" spans="1:26" ht="15" customHeight="1" x14ac:dyDescent="0.25">
      <c r="A5" s="29" t="s">
        <v>44</v>
      </c>
      <c r="B5" s="15"/>
      <c r="C5" s="16" t="s">
        <v>13</v>
      </c>
      <c r="D5" s="17"/>
      <c r="E5" s="17"/>
      <c r="F5" s="17"/>
    </row>
    <row r="6" spans="1:26" ht="18.75" customHeight="1" x14ac:dyDescent="0.25">
      <c r="A6" s="30"/>
      <c r="B6" s="18">
        <v>1</v>
      </c>
      <c r="C6" s="19" t="s">
        <v>74</v>
      </c>
      <c r="D6" s="20" t="s">
        <v>55</v>
      </c>
      <c r="E6" s="19"/>
      <c r="F6" s="19"/>
      <c r="G6" s="5">
        <f>COUNTIF(D6,"Sim")</f>
        <v>0</v>
      </c>
      <c r="H6" s="5">
        <f>COUNTIF(D6,"Parcialmente")</f>
        <v>0</v>
      </c>
      <c r="I6" s="5">
        <f>COUNTIF(D6,"Não")</f>
        <v>0</v>
      </c>
      <c r="J6" s="5">
        <f>COUNTIF(D6,"NA")</f>
        <v>1</v>
      </c>
    </row>
    <row r="7" spans="1:26" ht="18.75" customHeight="1" x14ac:dyDescent="0.25">
      <c r="A7" s="30"/>
      <c r="B7" s="15"/>
      <c r="C7" s="16" t="s">
        <v>14</v>
      </c>
      <c r="D7" s="17"/>
      <c r="E7" s="17"/>
      <c r="F7" s="17"/>
    </row>
    <row r="8" spans="1:26" ht="18.75" customHeight="1" x14ac:dyDescent="0.25">
      <c r="A8" s="30"/>
      <c r="B8" s="18">
        <v>2</v>
      </c>
      <c r="C8" s="19" t="s">
        <v>75</v>
      </c>
      <c r="D8" s="20" t="s">
        <v>46</v>
      </c>
      <c r="E8" s="19"/>
      <c r="F8" s="19"/>
      <c r="G8" s="5">
        <f>COUNTIF(D8,"Sim")</f>
        <v>1</v>
      </c>
      <c r="H8" s="5">
        <f>COUNTIF(D8,"Parcialmente")</f>
        <v>0</v>
      </c>
      <c r="I8" s="5">
        <f>COUNTIF(D8,"Não")</f>
        <v>0</v>
      </c>
      <c r="J8" s="5">
        <f>COUNTIF(D8,"NA")</f>
        <v>0</v>
      </c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spans="1:26" ht="18.75" customHeight="1" x14ac:dyDescent="0.25">
      <c r="A9" s="30"/>
      <c r="B9" s="18">
        <v>3</v>
      </c>
      <c r="C9" s="19" t="s">
        <v>76</v>
      </c>
      <c r="D9" s="20" t="s">
        <v>46</v>
      </c>
      <c r="E9" s="19"/>
      <c r="F9" s="19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spans="1:26" ht="18.75" customHeight="1" x14ac:dyDescent="0.25">
      <c r="A10" s="30"/>
      <c r="B10" s="15"/>
      <c r="C10" s="16" t="s">
        <v>57</v>
      </c>
      <c r="D10" s="17"/>
      <c r="E10" s="17"/>
      <c r="F10" s="17"/>
    </row>
    <row r="11" spans="1:26" ht="18.75" customHeight="1" x14ac:dyDescent="0.25">
      <c r="A11" s="30"/>
      <c r="B11" s="24">
        <v>4</v>
      </c>
      <c r="C11" s="22" t="s">
        <v>77</v>
      </c>
      <c r="D11" s="20" t="s">
        <v>46</v>
      </c>
      <c r="E11" s="19"/>
      <c r="F11" s="19"/>
      <c r="G11" s="5">
        <f>COUNTIF(D11:D14,"Sim")</f>
        <v>3</v>
      </c>
      <c r="H11" s="5">
        <f>COUNTIF(D11:D14,"Parcialmente")</f>
        <v>0</v>
      </c>
      <c r="I11" s="5">
        <f>COUNTIF(D11:D14,"Não")</f>
        <v>0</v>
      </c>
      <c r="J11" s="5">
        <f>COUNTIF(D11:D14,"NA")</f>
        <v>1</v>
      </c>
    </row>
    <row r="12" spans="1:26" ht="18.75" customHeight="1" x14ac:dyDescent="0.25">
      <c r="A12" s="30"/>
      <c r="B12" s="24">
        <v>5</v>
      </c>
      <c r="C12" s="22" t="s">
        <v>78</v>
      </c>
      <c r="D12" s="20" t="s">
        <v>46</v>
      </c>
      <c r="E12" s="19"/>
      <c r="F12" s="19"/>
    </row>
    <row r="13" spans="1:26" ht="18.75" customHeight="1" x14ac:dyDescent="0.25">
      <c r="A13" s="30"/>
      <c r="B13" s="18">
        <v>6</v>
      </c>
      <c r="C13" s="19" t="s">
        <v>79</v>
      </c>
      <c r="D13" s="20" t="s">
        <v>55</v>
      </c>
      <c r="E13" s="19"/>
      <c r="F13" s="19"/>
    </row>
    <row r="14" spans="1:26" ht="18.75" customHeight="1" x14ac:dyDescent="0.25">
      <c r="A14" s="30"/>
      <c r="B14" s="18">
        <v>7</v>
      </c>
      <c r="C14" s="19" t="s">
        <v>80</v>
      </c>
      <c r="D14" s="20" t="s">
        <v>46</v>
      </c>
      <c r="E14" s="19"/>
      <c r="F14" s="19"/>
    </row>
    <row r="15" spans="1:26" ht="18.75" customHeight="1" x14ac:dyDescent="0.25">
      <c r="A15" s="30"/>
      <c r="B15" s="15"/>
      <c r="C15" s="16" t="s">
        <v>16</v>
      </c>
      <c r="D15" s="17"/>
      <c r="E15" s="17"/>
      <c r="F15" s="17"/>
    </row>
    <row r="16" spans="1:26" ht="18.75" customHeight="1" x14ac:dyDescent="0.25">
      <c r="A16" s="31"/>
      <c r="B16" s="18">
        <v>7</v>
      </c>
      <c r="C16" s="19" t="s">
        <v>81</v>
      </c>
      <c r="D16" s="20" t="s">
        <v>55</v>
      </c>
      <c r="E16" s="19"/>
      <c r="F16" s="19"/>
      <c r="G16" s="5">
        <f>COUNTIF(D16,"Sim")</f>
        <v>0</v>
      </c>
      <c r="H16" s="5">
        <f>COUNTIF(D16,"Parcialmente")</f>
        <v>0</v>
      </c>
      <c r="I16" s="5">
        <f>COUNTIF(D16,"Não")</f>
        <v>0</v>
      </c>
      <c r="J16" s="5">
        <f>COUNTIF(D16,"NA")</f>
        <v>1</v>
      </c>
    </row>
    <row r="17" spans="1:26" ht="15" customHeight="1" x14ac:dyDescent="0.25">
      <c r="A17" s="29" t="s">
        <v>82</v>
      </c>
      <c r="B17" s="15"/>
      <c r="C17" s="16" t="s">
        <v>18</v>
      </c>
      <c r="D17" s="28"/>
      <c r="E17" s="17"/>
      <c r="F17" s="17"/>
    </row>
    <row r="18" spans="1:26" ht="18.75" customHeight="1" x14ac:dyDescent="0.25">
      <c r="A18" s="30"/>
      <c r="B18" s="18">
        <v>9</v>
      </c>
      <c r="C18" s="19" t="s">
        <v>83</v>
      </c>
      <c r="D18" s="20" t="s">
        <v>46</v>
      </c>
      <c r="E18" s="19"/>
      <c r="F18" s="19"/>
      <c r="G18" s="5">
        <f>COUNTIF(D18:D21,"Sim")</f>
        <v>2</v>
      </c>
      <c r="H18" s="5">
        <f>COUNTIF(D18:D21,"Parcialmente")</f>
        <v>1</v>
      </c>
      <c r="I18" s="5">
        <f>COUNTIF(D18:D21,"Não")</f>
        <v>1</v>
      </c>
      <c r="J18" s="5">
        <f>COUNTIF(D18:D21,"NA")</f>
        <v>0</v>
      </c>
    </row>
    <row r="19" spans="1:26" ht="18.75" customHeight="1" x14ac:dyDescent="0.25">
      <c r="A19" s="30"/>
      <c r="B19" s="24">
        <v>10</v>
      </c>
      <c r="C19" s="22" t="s">
        <v>84</v>
      </c>
      <c r="D19" s="20" t="s">
        <v>46</v>
      </c>
      <c r="E19" s="19"/>
      <c r="F19" s="19"/>
    </row>
    <row r="20" spans="1:26" ht="18.75" customHeight="1" x14ac:dyDescent="0.25">
      <c r="A20" s="30"/>
      <c r="B20" s="18">
        <v>11</v>
      </c>
      <c r="C20" s="19" t="s">
        <v>85</v>
      </c>
      <c r="D20" s="20" t="s">
        <v>43</v>
      </c>
      <c r="E20" s="19"/>
      <c r="F20" s="19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spans="1:26" ht="18.75" customHeight="1" x14ac:dyDescent="0.25">
      <c r="A21" s="31"/>
      <c r="B21" s="18">
        <v>12</v>
      </c>
      <c r="C21" s="19" t="s">
        <v>86</v>
      </c>
      <c r="D21" s="20" t="s">
        <v>51</v>
      </c>
      <c r="E21" s="19"/>
      <c r="F21" s="19"/>
    </row>
    <row r="22" spans="1:26" ht="18.75" customHeight="1" x14ac:dyDescent="0.25">
      <c r="A22" s="29" t="s">
        <v>87</v>
      </c>
      <c r="B22" s="15"/>
      <c r="C22" s="16" t="s">
        <v>22</v>
      </c>
      <c r="D22" s="28"/>
      <c r="E22" s="17"/>
      <c r="F22" s="17"/>
    </row>
    <row r="23" spans="1:26" ht="18.75" customHeight="1" x14ac:dyDescent="0.25">
      <c r="A23" s="30"/>
      <c r="B23" s="18">
        <v>17</v>
      </c>
      <c r="C23" s="19" t="s">
        <v>83</v>
      </c>
      <c r="D23" s="20" t="s">
        <v>46</v>
      </c>
      <c r="E23" s="19"/>
      <c r="F23" s="19"/>
      <c r="G23" s="5">
        <f>COUNTIF(D23:D27,"Sim")</f>
        <v>5</v>
      </c>
      <c r="H23" s="5">
        <f>COUNTIF(D23:D27,"Parcialmente")</f>
        <v>0</v>
      </c>
      <c r="I23" s="5">
        <f>COUNTIF(D23:D27,"Não")</f>
        <v>0</v>
      </c>
      <c r="J23" s="5">
        <f>COUNTIF(D23:D27,"NA")</f>
        <v>0</v>
      </c>
    </row>
    <row r="24" spans="1:26" ht="18.75" customHeight="1" x14ac:dyDescent="0.25">
      <c r="A24" s="30"/>
      <c r="B24" s="18">
        <v>18</v>
      </c>
      <c r="C24" s="19" t="s">
        <v>88</v>
      </c>
      <c r="D24" s="20" t="s">
        <v>46</v>
      </c>
      <c r="E24" s="19"/>
      <c r="F24" s="19"/>
    </row>
    <row r="25" spans="1:26" ht="18.75" customHeight="1" x14ac:dyDescent="0.25">
      <c r="A25" s="30"/>
      <c r="B25" s="18">
        <v>19</v>
      </c>
      <c r="C25" s="19" t="s">
        <v>89</v>
      </c>
      <c r="D25" s="20" t="s">
        <v>46</v>
      </c>
      <c r="E25" s="19"/>
      <c r="F25" s="19"/>
    </row>
    <row r="26" spans="1:26" ht="18.75" customHeight="1" x14ac:dyDescent="0.25">
      <c r="A26" s="30"/>
      <c r="B26" s="18">
        <v>21</v>
      </c>
      <c r="C26" s="19" t="s">
        <v>90</v>
      </c>
      <c r="D26" s="20" t="s">
        <v>46</v>
      </c>
      <c r="E26" s="19"/>
      <c r="F26" s="19"/>
    </row>
    <row r="27" spans="1:26" ht="18.75" customHeight="1" x14ac:dyDescent="0.25">
      <c r="A27" s="31"/>
      <c r="B27" s="18">
        <v>22</v>
      </c>
      <c r="C27" s="19" t="s">
        <v>91</v>
      </c>
      <c r="D27" s="20" t="s">
        <v>46</v>
      </c>
      <c r="E27" s="19"/>
      <c r="F27" s="19"/>
    </row>
    <row r="28" spans="1:26" ht="18.75" customHeight="1" x14ac:dyDescent="0.25">
      <c r="A28" s="29" t="s">
        <v>92</v>
      </c>
      <c r="B28" s="15"/>
      <c r="C28" s="16" t="s">
        <v>23</v>
      </c>
      <c r="D28" s="28"/>
      <c r="E28" s="17"/>
      <c r="F28" s="17"/>
    </row>
    <row r="29" spans="1:26" ht="18.75" customHeight="1" x14ac:dyDescent="0.25">
      <c r="A29" s="30"/>
      <c r="B29" s="18">
        <v>23</v>
      </c>
      <c r="C29" s="19" t="s">
        <v>93</v>
      </c>
      <c r="D29" s="20" t="s">
        <v>46</v>
      </c>
      <c r="E29" s="19"/>
      <c r="F29" s="19"/>
      <c r="G29" s="5">
        <f>COUNTIF(D29:D34,"Sim")</f>
        <v>3</v>
      </c>
      <c r="H29" s="5">
        <f>COUNTIF(D29:D34,"Parcialmente")</f>
        <v>0</v>
      </c>
      <c r="I29" s="5">
        <f>COUNTIF(D29:D34,"Não")</f>
        <v>0</v>
      </c>
      <c r="J29" s="5">
        <f>COUNTIF(D29:D34,"NA")</f>
        <v>3</v>
      </c>
    </row>
    <row r="30" spans="1:26" ht="18.75" customHeight="1" x14ac:dyDescent="0.25">
      <c r="A30" s="30"/>
      <c r="B30" s="18">
        <v>24</v>
      </c>
      <c r="C30" s="19" t="s">
        <v>94</v>
      </c>
      <c r="D30" s="20" t="s">
        <v>55</v>
      </c>
      <c r="E30" s="19"/>
      <c r="F30" s="19"/>
    </row>
    <row r="31" spans="1:26" ht="18.75" customHeight="1" x14ac:dyDescent="0.25">
      <c r="A31" s="30"/>
      <c r="B31" s="18">
        <v>25</v>
      </c>
      <c r="C31" s="19" t="s">
        <v>95</v>
      </c>
      <c r="D31" s="20" t="s">
        <v>55</v>
      </c>
      <c r="E31" s="19"/>
      <c r="F31" s="19"/>
    </row>
    <row r="32" spans="1:26" ht="18.75" customHeight="1" x14ac:dyDescent="0.25">
      <c r="A32" s="30"/>
      <c r="B32" s="18">
        <v>26</v>
      </c>
      <c r="C32" s="19" t="s">
        <v>96</v>
      </c>
      <c r="D32" s="20" t="s">
        <v>46</v>
      </c>
      <c r="E32" s="19"/>
      <c r="F32" s="19"/>
    </row>
    <row r="33" spans="1:10" ht="18.75" customHeight="1" x14ac:dyDescent="0.25">
      <c r="A33" s="30"/>
      <c r="B33" s="18">
        <v>27</v>
      </c>
      <c r="C33" s="19" t="s">
        <v>97</v>
      </c>
      <c r="D33" s="20" t="s">
        <v>55</v>
      </c>
      <c r="E33" s="19"/>
      <c r="F33" s="19"/>
    </row>
    <row r="34" spans="1:10" ht="18.75" customHeight="1" x14ac:dyDescent="0.25">
      <c r="A34" s="32"/>
      <c r="B34" s="18">
        <v>28</v>
      </c>
      <c r="C34" s="19" t="s">
        <v>98</v>
      </c>
      <c r="D34" s="20" t="s">
        <v>46</v>
      </c>
      <c r="E34" s="19"/>
      <c r="F34" s="19"/>
    </row>
    <row r="35" spans="1:10" ht="15" customHeight="1" x14ac:dyDescent="0.25">
      <c r="A35" s="33" t="s">
        <v>69</v>
      </c>
      <c r="B35" s="15"/>
      <c r="C35" s="16" t="s">
        <v>24</v>
      </c>
      <c r="D35" s="28"/>
      <c r="E35" s="17"/>
      <c r="F35" s="17"/>
    </row>
    <row r="36" spans="1:10" ht="18.75" customHeight="1" x14ac:dyDescent="0.25">
      <c r="A36" s="34"/>
      <c r="B36" s="18">
        <v>29</v>
      </c>
      <c r="C36" s="19" t="s">
        <v>71</v>
      </c>
      <c r="D36" s="20" t="s">
        <v>46</v>
      </c>
      <c r="E36" s="19"/>
      <c r="F36" s="19"/>
      <c r="G36" s="5">
        <f>COUNTIF(D36:D38,"Sim")</f>
        <v>2</v>
      </c>
      <c r="H36" s="5">
        <f>COUNTIF(D36:D38,"Parcialmente")</f>
        <v>1</v>
      </c>
      <c r="I36" s="5">
        <f>COUNTIF(D36:D38,"Não")</f>
        <v>0</v>
      </c>
      <c r="J36" s="5">
        <f>COUNTIF(D36:D38,"NA")</f>
        <v>0</v>
      </c>
    </row>
    <row r="37" spans="1:10" ht="18.75" customHeight="1" x14ac:dyDescent="0.25">
      <c r="A37" s="34"/>
      <c r="B37" s="18">
        <v>30</v>
      </c>
      <c r="C37" s="19" t="s">
        <v>72</v>
      </c>
      <c r="D37" s="20" t="s">
        <v>46</v>
      </c>
      <c r="E37" s="19"/>
      <c r="F37" s="19"/>
    </row>
    <row r="38" spans="1:10" ht="18.75" customHeight="1" x14ac:dyDescent="0.25">
      <c r="A38" s="34"/>
      <c r="B38" s="18">
        <v>31</v>
      </c>
      <c r="C38" s="19" t="s">
        <v>73</v>
      </c>
      <c r="D38" s="20" t="s">
        <v>51</v>
      </c>
      <c r="E38" s="19"/>
      <c r="F38" s="19"/>
    </row>
    <row r="39" spans="1:10" ht="18.75" customHeight="1" x14ac:dyDescent="0.25">
      <c r="A39" s="34"/>
      <c r="B39" s="15"/>
      <c r="C39" s="16" t="s">
        <v>25</v>
      </c>
      <c r="D39" s="28"/>
      <c r="E39" s="17"/>
      <c r="F39" s="17"/>
    </row>
    <row r="40" spans="1:10" ht="18.75" customHeight="1" x14ac:dyDescent="0.25">
      <c r="A40" s="34"/>
      <c r="B40" s="18">
        <v>32</v>
      </c>
      <c r="C40" s="19" t="s">
        <v>99</v>
      </c>
      <c r="D40" s="20" t="s">
        <v>55</v>
      </c>
      <c r="E40" s="19"/>
      <c r="F40" s="19"/>
      <c r="G40" s="5">
        <f>COUNTIF(D40:D41,"Sim")</f>
        <v>0</v>
      </c>
      <c r="H40" s="5">
        <f>COUNTIF(D40:D41,"Parcialmente")</f>
        <v>0</v>
      </c>
      <c r="I40" s="5">
        <f>COUNTIF(D40:D41,"Não")</f>
        <v>0</v>
      </c>
      <c r="J40" s="5">
        <f>COUNTIF(D40:D41,"NA")</f>
        <v>2</v>
      </c>
    </row>
    <row r="41" spans="1:10" ht="18.75" customHeight="1" x14ac:dyDescent="0.25">
      <c r="A41" s="35"/>
      <c r="B41" s="18">
        <v>33</v>
      </c>
      <c r="C41" s="19" t="s">
        <v>100</v>
      </c>
      <c r="D41" s="20" t="s">
        <v>55</v>
      </c>
      <c r="E41" s="19"/>
      <c r="F41" s="19"/>
    </row>
    <row r="42" spans="1:10" ht="18.75" customHeight="1" x14ac:dyDescent="0.4">
      <c r="B42" s="25"/>
      <c r="C42" s="23"/>
    </row>
    <row r="43" spans="1:10" ht="18.75" customHeight="1" x14ac:dyDescent="0.4">
      <c r="B43" s="25"/>
      <c r="C43" s="23"/>
    </row>
    <row r="44" spans="1:10" ht="18.75" customHeight="1" x14ac:dyDescent="0.4">
      <c r="B44" s="25"/>
      <c r="C44" s="23"/>
    </row>
    <row r="45" spans="1:10" ht="18.75" customHeight="1" x14ac:dyDescent="0.4">
      <c r="B45" s="25"/>
      <c r="C45" s="23"/>
    </row>
    <row r="46" spans="1:10" ht="18.75" customHeight="1" x14ac:dyDescent="0.4">
      <c r="B46" s="25"/>
      <c r="C46" s="23"/>
    </row>
    <row r="47" spans="1:10" ht="18.75" customHeight="1" x14ac:dyDescent="0.4">
      <c r="B47" s="25"/>
      <c r="C47" s="23"/>
    </row>
    <row r="48" spans="1:10" ht="18.75" customHeight="1" x14ac:dyDescent="0.4">
      <c r="B48" s="25"/>
      <c r="C48" s="23"/>
    </row>
    <row r="49" spans="2:3" ht="18.75" customHeight="1" x14ac:dyDescent="0.4">
      <c r="B49" s="25"/>
      <c r="C49" s="23"/>
    </row>
    <row r="50" spans="2:3" ht="18.75" customHeight="1" x14ac:dyDescent="0.4">
      <c r="B50" s="25"/>
      <c r="C50" s="23"/>
    </row>
    <row r="51" spans="2:3" ht="18.75" customHeight="1" x14ac:dyDescent="0.4">
      <c r="B51" s="25"/>
      <c r="C51" s="23"/>
    </row>
    <row r="52" spans="2:3" ht="18.75" customHeight="1" x14ac:dyDescent="0.4">
      <c r="B52" s="25"/>
      <c r="C52" s="23"/>
    </row>
    <row r="53" spans="2:3" ht="18.75" customHeight="1" x14ac:dyDescent="0.4">
      <c r="B53" s="25"/>
      <c r="C53" s="23"/>
    </row>
    <row r="54" spans="2:3" ht="18.75" customHeight="1" x14ac:dyDescent="0.4">
      <c r="B54" s="25"/>
      <c r="C54" s="23"/>
    </row>
    <row r="55" spans="2:3" ht="18.75" customHeight="1" x14ac:dyDescent="0.4">
      <c r="B55" s="25"/>
      <c r="C55" s="23"/>
    </row>
    <row r="56" spans="2:3" ht="18.75" customHeight="1" x14ac:dyDescent="0.4">
      <c r="B56" s="25"/>
      <c r="C56" s="23"/>
    </row>
    <row r="57" spans="2:3" ht="18.75" customHeight="1" x14ac:dyDescent="0.4">
      <c r="B57" s="25"/>
      <c r="C57" s="23"/>
    </row>
    <row r="58" spans="2:3" ht="18.75" customHeight="1" x14ac:dyDescent="0.4">
      <c r="B58" s="25"/>
      <c r="C58" s="23"/>
    </row>
    <row r="59" spans="2:3" ht="18.75" customHeight="1" x14ac:dyDescent="0.4">
      <c r="B59" s="25"/>
      <c r="C59" s="23"/>
    </row>
    <row r="60" spans="2:3" ht="18.75" customHeight="1" x14ac:dyDescent="0.4">
      <c r="B60" s="25"/>
      <c r="C60" s="23"/>
    </row>
    <row r="61" spans="2:3" ht="18.75" customHeight="1" x14ac:dyDescent="0.4">
      <c r="B61" s="25"/>
      <c r="C61" s="23"/>
    </row>
    <row r="62" spans="2:3" ht="18.75" customHeight="1" x14ac:dyDescent="0.4">
      <c r="B62" s="25"/>
      <c r="C62" s="23"/>
    </row>
    <row r="63" spans="2:3" ht="18.75" customHeight="1" x14ac:dyDescent="0.4">
      <c r="B63" s="25"/>
      <c r="C63" s="23"/>
    </row>
    <row r="64" spans="2:3" ht="18.75" customHeight="1" x14ac:dyDescent="0.4">
      <c r="B64" s="25"/>
      <c r="C64" s="23"/>
    </row>
    <row r="65" spans="2:3" ht="18.75" customHeight="1" x14ac:dyDescent="0.4">
      <c r="B65" s="25"/>
      <c r="C65" s="23"/>
    </row>
    <row r="66" spans="2:3" ht="18.75" customHeight="1" x14ac:dyDescent="0.4">
      <c r="B66" s="25"/>
      <c r="C66" s="23"/>
    </row>
    <row r="67" spans="2:3" ht="18.75" customHeight="1" x14ac:dyDescent="0.4">
      <c r="B67" s="25"/>
      <c r="C67" s="23"/>
    </row>
    <row r="68" spans="2:3" ht="18.75" customHeight="1" x14ac:dyDescent="0.4">
      <c r="B68" s="25"/>
      <c r="C68" s="23"/>
    </row>
    <row r="69" spans="2:3" ht="18.75" customHeight="1" x14ac:dyDescent="0.4">
      <c r="B69" s="25"/>
      <c r="C69" s="23"/>
    </row>
    <row r="70" spans="2:3" ht="18.75" customHeight="1" x14ac:dyDescent="0.4">
      <c r="B70" s="25"/>
      <c r="C70" s="23"/>
    </row>
    <row r="71" spans="2:3" ht="18.75" customHeight="1" x14ac:dyDescent="0.4">
      <c r="B71" s="25"/>
      <c r="C71" s="23"/>
    </row>
    <row r="72" spans="2:3" ht="18.75" customHeight="1" x14ac:dyDescent="0.4">
      <c r="B72" s="25"/>
      <c r="C72" s="23"/>
    </row>
    <row r="73" spans="2:3" ht="18.75" customHeight="1" x14ac:dyDescent="0.4">
      <c r="B73" s="25"/>
      <c r="C73" s="23"/>
    </row>
    <row r="74" spans="2:3" ht="18.75" customHeight="1" x14ac:dyDescent="0.4">
      <c r="B74" s="25"/>
      <c r="C74" s="23"/>
    </row>
    <row r="75" spans="2:3" ht="18.75" customHeight="1" x14ac:dyDescent="0.4">
      <c r="B75" s="25"/>
      <c r="C75" s="23"/>
    </row>
    <row r="76" spans="2:3" ht="18.75" customHeight="1" x14ac:dyDescent="0.4">
      <c r="B76" s="25"/>
      <c r="C76" s="23"/>
    </row>
    <row r="77" spans="2:3" ht="18.75" customHeight="1" x14ac:dyDescent="0.4">
      <c r="B77" s="25"/>
      <c r="C77" s="23"/>
    </row>
    <row r="78" spans="2:3" ht="18.75" customHeight="1" x14ac:dyDescent="0.4">
      <c r="B78" s="25"/>
      <c r="C78" s="23"/>
    </row>
    <row r="79" spans="2:3" ht="18.75" customHeight="1" x14ac:dyDescent="0.4">
      <c r="B79" s="25"/>
      <c r="C79" s="23"/>
    </row>
    <row r="80" spans="2:3" ht="18.75" customHeight="1" x14ac:dyDescent="0.4">
      <c r="B80" s="25"/>
      <c r="C80" s="23"/>
    </row>
    <row r="81" spans="2:3" ht="18.75" customHeight="1" x14ac:dyDescent="0.4">
      <c r="B81" s="25"/>
      <c r="C81" s="23"/>
    </row>
    <row r="82" spans="2:3" ht="18.75" customHeight="1" x14ac:dyDescent="0.4">
      <c r="B82" s="25"/>
      <c r="C82" s="23"/>
    </row>
    <row r="83" spans="2:3" ht="18.75" customHeight="1" x14ac:dyDescent="0.4">
      <c r="B83" s="25"/>
      <c r="C83" s="23"/>
    </row>
    <row r="84" spans="2:3" ht="18.75" customHeight="1" x14ac:dyDescent="0.4">
      <c r="B84" s="25"/>
      <c r="C84" s="23"/>
    </row>
    <row r="85" spans="2:3" ht="18.75" customHeight="1" x14ac:dyDescent="0.4">
      <c r="B85" s="25"/>
      <c r="C85" s="23"/>
    </row>
    <row r="86" spans="2:3" ht="18.75" customHeight="1" x14ac:dyDescent="0.4">
      <c r="B86" s="25"/>
      <c r="C86" s="23"/>
    </row>
    <row r="87" spans="2:3" ht="18.75" customHeight="1" x14ac:dyDescent="0.4">
      <c r="B87" s="25"/>
      <c r="C87" s="23"/>
    </row>
    <row r="88" spans="2:3" ht="18.75" customHeight="1" x14ac:dyDescent="0.4">
      <c r="B88" s="25"/>
      <c r="C88" s="23"/>
    </row>
    <row r="89" spans="2:3" ht="18.75" customHeight="1" x14ac:dyDescent="0.4">
      <c r="B89" s="25"/>
      <c r="C89" s="23"/>
    </row>
    <row r="90" spans="2:3" ht="18.75" customHeight="1" x14ac:dyDescent="0.4">
      <c r="B90" s="25"/>
      <c r="C90" s="23"/>
    </row>
    <row r="91" spans="2:3" ht="18.75" customHeight="1" x14ac:dyDescent="0.4">
      <c r="B91" s="25"/>
      <c r="C91" s="23"/>
    </row>
    <row r="92" spans="2:3" ht="18.75" customHeight="1" x14ac:dyDescent="0.4">
      <c r="B92" s="25"/>
      <c r="C92" s="23"/>
    </row>
    <row r="93" spans="2:3" ht="18.75" customHeight="1" x14ac:dyDescent="0.4">
      <c r="B93" s="25"/>
      <c r="C93" s="23"/>
    </row>
    <row r="94" spans="2:3" ht="18.75" customHeight="1" x14ac:dyDescent="0.4">
      <c r="B94" s="25"/>
      <c r="C94" s="23"/>
    </row>
    <row r="95" spans="2:3" ht="18.75" customHeight="1" x14ac:dyDescent="0.4">
      <c r="B95" s="25"/>
      <c r="C95" s="23"/>
    </row>
    <row r="96" spans="2:3" ht="18.75" customHeight="1" x14ac:dyDescent="0.4">
      <c r="B96" s="25"/>
      <c r="C96" s="23"/>
    </row>
    <row r="97" spans="2:3" ht="18.75" customHeight="1" x14ac:dyDescent="0.4">
      <c r="B97" s="25"/>
      <c r="C97" s="23"/>
    </row>
    <row r="98" spans="2:3" ht="18.75" customHeight="1" x14ac:dyDescent="0.4">
      <c r="B98" s="25"/>
      <c r="C98" s="23"/>
    </row>
    <row r="99" spans="2:3" ht="18.75" customHeight="1" x14ac:dyDescent="0.4">
      <c r="B99" s="25"/>
      <c r="C99" s="23"/>
    </row>
    <row r="100" spans="2:3" ht="18.75" customHeight="1" x14ac:dyDescent="0.4">
      <c r="B100" s="25"/>
      <c r="C100" s="23"/>
    </row>
    <row r="101" spans="2:3" ht="18.75" customHeight="1" x14ac:dyDescent="0.4">
      <c r="B101" s="25"/>
      <c r="C101" s="23"/>
    </row>
    <row r="102" spans="2:3" ht="18.75" customHeight="1" x14ac:dyDescent="0.4">
      <c r="B102" s="25"/>
      <c r="C102" s="23"/>
    </row>
    <row r="103" spans="2:3" ht="18.75" customHeight="1" x14ac:dyDescent="0.4">
      <c r="B103" s="25"/>
      <c r="C103" s="23"/>
    </row>
    <row r="104" spans="2:3" ht="18.75" customHeight="1" x14ac:dyDescent="0.4">
      <c r="B104" s="25"/>
      <c r="C104" s="23"/>
    </row>
    <row r="105" spans="2:3" ht="18.75" customHeight="1" x14ac:dyDescent="0.4">
      <c r="B105" s="25"/>
      <c r="C105" s="23"/>
    </row>
    <row r="106" spans="2:3" ht="18.75" customHeight="1" x14ac:dyDescent="0.4">
      <c r="B106" s="25"/>
      <c r="C106" s="23"/>
    </row>
    <row r="107" spans="2:3" ht="18.75" customHeight="1" x14ac:dyDescent="0.4">
      <c r="B107" s="25"/>
      <c r="C107" s="23"/>
    </row>
    <row r="108" spans="2:3" ht="18.75" customHeight="1" x14ac:dyDescent="0.4">
      <c r="B108" s="25"/>
      <c r="C108" s="23"/>
    </row>
    <row r="109" spans="2:3" ht="18.75" customHeight="1" x14ac:dyDescent="0.4">
      <c r="B109" s="25"/>
      <c r="C109" s="23"/>
    </row>
    <row r="110" spans="2:3" ht="18.75" customHeight="1" x14ac:dyDescent="0.4">
      <c r="B110" s="25"/>
      <c r="C110" s="23"/>
    </row>
    <row r="111" spans="2:3" ht="18.75" customHeight="1" x14ac:dyDescent="0.4">
      <c r="B111" s="25"/>
      <c r="C111" s="23"/>
    </row>
    <row r="112" spans="2:3" ht="18.75" customHeight="1" x14ac:dyDescent="0.4">
      <c r="B112" s="25"/>
      <c r="C112" s="23"/>
    </row>
    <row r="113" spans="2:3" ht="18.75" customHeight="1" x14ac:dyDescent="0.4">
      <c r="B113" s="25"/>
      <c r="C113" s="23"/>
    </row>
    <row r="114" spans="2:3" ht="18.75" customHeight="1" x14ac:dyDescent="0.4">
      <c r="B114" s="25"/>
      <c r="C114" s="23"/>
    </row>
    <row r="115" spans="2:3" ht="18.75" customHeight="1" x14ac:dyDescent="0.4">
      <c r="B115" s="25"/>
      <c r="C115" s="23"/>
    </row>
    <row r="116" spans="2:3" ht="18.75" customHeight="1" x14ac:dyDescent="0.4">
      <c r="B116" s="25"/>
      <c r="C116" s="23"/>
    </row>
    <row r="117" spans="2:3" ht="18.75" customHeight="1" x14ac:dyDescent="0.4">
      <c r="B117" s="25"/>
      <c r="C117" s="23"/>
    </row>
    <row r="118" spans="2:3" ht="18.75" customHeight="1" x14ac:dyDescent="0.4">
      <c r="B118" s="25"/>
      <c r="C118" s="23"/>
    </row>
    <row r="119" spans="2:3" ht="18.75" customHeight="1" x14ac:dyDescent="0.4">
      <c r="B119" s="25"/>
      <c r="C119" s="23"/>
    </row>
    <row r="120" spans="2:3" ht="18.75" customHeight="1" x14ac:dyDescent="0.4">
      <c r="B120" s="25"/>
      <c r="C120" s="23"/>
    </row>
    <row r="121" spans="2:3" ht="18.75" customHeight="1" x14ac:dyDescent="0.4">
      <c r="B121" s="25"/>
      <c r="C121" s="23"/>
    </row>
    <row r="122" spans="2:3" ht="18.75" customHeight="1" x14ac:dyDescent="0.4">
      <c r="B122" s="25"/>
      <c r="C122" s="23"/>
    </row>
    <row r="123" spans="2:3" ht="18.75" customHeight="1" x14ac:dyDescent="0.4">
      <c r="B123" s="25"/>
      <c r="C123" s="23"/>
    </row>
    <row r="124" spans="2:3" ht="18.75" customHeight="1" x14ac:dyDescent="0.4">
      <c r="B124" s="25"/>
      <c r="C124" s="23"/>
    </row>
    <row r="125" spans="2:3" ht="18.75" customHeight="1" x14ac:dyDescent="0.4">
      <c r="B125" s="25"/>
      <c r="C125" s="23"/>
    </row>
    <row r="126" spans="2:3" ht="18.75" customHeight="1" x14ac:dyDescent="0.4">
      <c r="B126" s="25"/>
      <c r="C126" s="23"/>
    </row>
    <row r="127" spans="2:3" ht="18.75" customHeight="1" x14ac:dyDescent="0.4">
      <c r="B127" s="25"/>
      <c r="C127" s="23"/>
    </row>
    <row r="128" spans="2:3" ht="18.75" customHeight="1" x14ac:dyDescent="0.4">
      <c r="B128" s="25"/>
      <c r="C128" s="23"/>
    </row>
    <row r="129" spans="2:3" ht="18.75" customHeight="1" x14ac:dyDescent="0.4">
      <c r="B129" s="25"/>
      <c r="C129" s="23"/>
    </row>
    <row r="130" spans="2:3" ht="18.75" customHeight="1" x14ac:dyDescent="0.4">
      <c r="B130" s="25"/>
      <c r="C130" s="23"/>
    </row>
    <row r="131" spans="2:3" ht="18.75" customHeight="1" x14ac:dyDescent="0.4">
      <c r="B131" s="25"/>
      <c r="C131" s="23"/>
    </row>
    <row r="132" spans="2:3" ht="18.75" customHeight="1" x14ac:dyDescent="0.4">
      <c r="B132" s="25"/>
      <c r="C132" s="23"/>
    </row>
    <row r="133" spans="2:3" ht="18.75" customHeight="1" x14ac:dyDescent="0.4">
      <c r="B133" s="25"/>
      <c r="C133" s="23"/>
    </row>
    <row r="134" spans="2:3" ht="18.75" customHeight="1" x14ac:dyDescent="0.4">
      <c r="B134" s="25"/>
      <c r="C134" s="23"/>
    </row>
    <row r="135" spans="2:3" ht="18.75" customHeight="1" x14ac:dyDescent="0.4">
      <c r="B135" s="25"/>
      <c r="C135" s="23"/>
    </row>
    <row r="136" spans="2:3" ht="18.75" customHeight="1" x14ac:dyDescent="0.4">
      <c r="B136" s="25"/>
      <c r="C136" s="23"/>
    </row>
    <row r="137" spans="2:3" ht="18.75" customHeight="1" x14ac:dyDescent="0.4">
      <c r="B137" s="25"/>
      <c r="C137" s="23"/>
    </row>
    <row r="138" spans="2:3" ht="18.75" customHeight="1" x14ac:dyDescent="0.4">
      <c r="B138" s="25"/>
      <c r="C138" s="23"/>
    </row>
    <row r="139" spans="2:3" ht="18.75" customHeight="1" x14ac:dyDescent="0.4">
      <c r="B139" s="25"/>
      <c r="C139" s="23"/>
    </row>
    <row r="140" spans="2:3" ht="18.75" customHeight="1" x14ac:dyDescent="0.4">
      <c r="B140" s="25"/>
      <c r="C140" s="23"/>
    </row>
    <row r="141" spans="2:3" ht="18.75" customHeight="1" x14ac:dyDescent="0.4">
      <c r="B141" s="25"/>
      <c r="C141" s="23"/>
    </row>
    <row r="142" spans="2:3" ht="18.75" customHeight="1" x14ac:dyDescent="0.4">
      <c r="B142" s="25"/>
      <c r="C142" s="23"/>
    </row>
    <row r="143" spans="2:3" ht="18.75" customHeight="1" x14ac:dyDescent="0.4">
      <c r="B143" s="25"/>
      <c r="C143" s="23"/>
    </row>
    <row r="144" spans="2:3" ht="18.75" customHeight="1" x14ac:dyDescent="0.4">
      <c r="B144" s="25"/>
      <c r="C144" s="23"/>
    </row>
    <row r="145" spans="2:3" ht="18.75" customHeight="1" x14ac:dyDescent="0.4">
      <c r="B145" s="25"/>
      <c r="C145" s="23"/>
    </row>
    <row r="146" spans="2:3" ht="18.75" customHeight="1" x14ac:dyDescent="0.4">
      <c r="B146" s="25"/>
      <c r="C146" s="23"/>
    </row>
    <row r="147" spans="2:3" ht="18.75" customHeight="1" x14ac:dyDescent="0.4">
      <c r="B147" s="25"/>
      <c r="C147" s="23"/>
    </row>
    <row r="148" spans="2:3" ht="18.75" customHeight="1" x14ac:dyDescent="0.4">
      <c r="B148" s="25"/>
      <c r="C148" s="23"/>
    </row>
    <row r="149" spans="2:3" ht="18.75" customHeight="1" x14ac:dyDescent="0.4">
      <c r="B149" s="25"/>
      <c r="C149" s="23"/>
    </row>
    <row r="150" spans="2:3" ht="18.75" customHeight="1" x14ac:dyDescent="0.4">
      <c r="B150" s="25"/>
      <c r="C150" s="23"/>
    </row>
    <row r="151" spans="2:3" ht="18.75" customHeight="1" x14ac:dyDescent="0.4">
      <c r="B151" s="25"/>
      <c r="C151" s="23"/>
    </row>
    <row r="152" spans="2:3" ht="18.75" customHeight="1" x14ac:dyDescent="0.4">
      <c r="B152" s="25"/>
      <c r="C152" s="23"/>
    </row>
    <row r="153" spans="2:3" ht="18.75" customHeight="1" x14ac:dyDescent="0.4">
      <c r="B153" s="25"/>
      <c r="C153" s="23"/>
    </row>
    <row r="154" spans="2:3" ht="18.75" customHeight="1" x14ac:dyDescent="0.4">
      <c r="B154" s="25"/>
      <c r="C154" s="23"/>
    </row>
    <row r="155" spans="2:3" ht="18.75" customHeight="1" x14ac:dyDescent="0.4">
      <c r="B155" s="25"/>
      <c r="C155" s="23"/>
    </row>
    <row r="156" spans="2:3" ht="18.75" customHeight="1" x14ac:dyDescent="0.4">
      <c r="B156" s="25"/>
      <c r="C156" s="23"/>
    </row>
    <row r="157" spans="2:3" ht="18.75" customHeight="1" x14ac:dyDescent="0.4">
      <c r="B157" s="25"/>
      <c r="C157" s="23"/>
    </row>
    <row r="158" spans="2:3" ht="18.75" customHeight="1" x14ac:dyDescent="0.4">
      <c r="B158" s="25"/>
      <c r="C158" s="23"/>
    </row>
    <row r="159" spans="2:3" ht="18.75" customHeight="1" x14ac:dyDescent="0.4">
      <c r="B159" s="25"/>
      <c r="C159" s="23"/>
    </row>
    <row r="160" spans="2:3" ht="18.75" customHeight="1" x14ac:dyDescent="0.4">
      <c r="B160" s="25"/>
      <c r="C160" s="23"/>
    </row>
    <row r="161" spans="2:3" ht="18.75" customHeight="1" x14ac:dyDescent="0.4">
      <c r="B161" s="25"/>
      <c r="C161" s="23"/>
    </row>
    <row r="162" spans="2:3" ht="18.75" customHeight="1" x14ac:dyDescent="0.4">
      <c r="B162" s="25"/>
      <c r="C162" s="23"/>
    </row>
    <row r="163" spans="2:3" ht="18.75" customHeight="1" x14ac:dyDescent="0.4">
      <c r="B163" s="25"/>
      <c r="C163" s="23"/>
    </row>
    <row r="164" spans="2:3" ht="18.75" customHeight="1" x14ac:dyDescent="0.4">
      <c r="B164" s="25"/>
      <c r="C164" s="23"/>
    </row>
    <row r="165" spans="2:3" ht="18.75" customHeight="1" x14ac:dyDescent="0.4">
      <c r="B165" s="25"/>
      <c r="C165" s="23"/>
    </row>
    <row r="166" spans="2:3" ht="18.75" customHeight="1" x14ac:dyDescent="0.4">
      <c r="B166" s="25"/>
      <c r="C166" s="23"/>
    </row>
    <row r="167" spans="2:3" ht="18.75" customHeight="1" x14ac:dyDescent="0.4">
      <c r="B167" s="25"/>
      <c r="C167" s="23"/>
    </row>
    <row r="168" spans="2:3" ht="18.75" customHeight="1" x14ac:dyDescent="0.4">
      <c r="B168" s="25"/>
      <c r="C168" s="23"/>
    </row>
    <row r="169" spans="2:3" ht="18.75" customHeight="1" x14ac:dyDescent="0.4">
      <c r="B169" s="25"/>
      <c r="C169" s="23"/>
    </row>
    <row r="170" spans="2:3" ht="18.75" customHeight="1" x14ac:dyDescent="0.4">
      <c r="B170" s="25"/>
      <c r="C170" s="23"/>
    </row>
    <row r="171" spans="2:3" ht="18.75" customHeight="1" x14ac:dyDescent="0.4">
      <c r="B171" s="25"/>
      <c r="C171" s="23"/>
    </row>
    <row r="172" spans="2:3" ht="18.75" customHeight="1" x14ac:dyDescent="0.4">
      <c r="B172" s="25"/>
      <c r="C172" s="23"/>
    </row>
    <row r="173" spans="2:3" ht="18.75" customHeight="1" x14ac:dyDescent="0.4">
      <c r="B173" s="25"/>
      <c r="C173" s="23"/>
    </row>
    <row r="174" spans="2:3" ht="18.75" customHeight="1" x14ac:dyDescent="0.4">
      <c r="B174" s="25"/>
      <c r="C174" s="23"/>
    </row>
    <row r="175" spans="2:3" ht="18.75" customHeight="1" x14ac:dyDescent="0.4">
      <c r="B175" s="25"/>
      <c r="C175" s="23"/>
    </row>
    <row r="176" spans="2:3" ht="18.75" customHeight="1" x14ac:dyDescent="0.4">
      <c r="B176" s="25"/>
      <c r="C176" s="23"/>
    </row>
    <row r="177" spans="2:3" ht="18.75" customHeight="1" x14ac:dyDescent="0.4">
      <c r="B177" s="25"/>
      <c r="C177" s="23"/>
    </row>
    <row r="178" spans="2:3" ht="18.75" customHeight="1" x14ac:dyDescent="0.4">
      <c r="B178" s="25"/>
      <c r="C178" s="23"/>
    </row>
    <row r="179" spans="2:3" ht="18.75" customHeight="1" x14ac:dyDescent="0.4">
      <c r="B179" s="25"/>
      <c r="C179" s="23"/>
    </row>
    <row r="180" spans="2:3" ht="18.75" customHeight="1" x14ac:dyDescent="0.4">
      <c r="B180" s="25"/>
      <c r="C180" s="23"/>
    </row>
    <row r="181" spans="2:3" ht="18.75" customHeight="1" x14ac:dyDescent="0.4">
      <c r="B181" s="25"/>
      <c r="C181" s="23"/>
    </row>
    <row r="182" spans="2:3" ht="18.75" customHeight="1" x14ac:dyDescent="0.4">
      <c r="B182" s="25"/>
      <c r="C182" s="23"/>
    </row>
    <row r="183" spans="2:3" ht="18.75" customHeight="1" x14ac:dyDescent="0.4">
      <c r="B183" s="25"/>
      <c r="C183" s="23"/>
    </row>
    <row r="184" spans="2:3" ht="18.75" customHeight="1" x14ac:dyDescent="0.4">
      <c r="B184" s="25"/>
      <c r="C184" s="23"/>
    </row>
    <row r="185" spans="2:3" ht="18.75" customHeight="1" x14ac:dyDescent="0.4">
      <c r="B185" s="25"/>
      <c r="C185" s="23"/>
    </row>
    <row r="186" spans="2:3" ht="18.75" customHeight="1" x14ac:dyDescent="0.4">
      <c r="B186" s="25"/>
      <c r="C186" s="23"/>
    </row>
    <row r="187" spans="2:3" ht="18.75" customHeight="1" x14ac:dyDescent="0.4">
      <c r="B187" s="25"/>
      <c r="C187" s="23"/>
    </row>
    <row r="188" spans="2:3" ht="18.75" customHeight="1" x14ac:dyDescent="0.4">
      <c r="B188" s="25"/>
      <c r="C188" s="23"/>
    </row>
    <row r="189" spans="2:3" ht="18.75" customHeight="1" x14ac:dyDescent="0.4">
      <c r="B189" s="25"/>
      <c r="C189" s="23"/>
    </row>
    <row r="190" spans="2:3" ht="18.75" customHeight="1" x14ac:dyDescent="0.4">
      <c r="B190" s="25"/>
      <c r="C190" s="23"/>
    </row>
    <row r="191" spans="2:3" ht="18.75" customHeight="1" x14ac:dyDescent="0.4">
      <c r="B191" s="25"/>
      <c r="C191" s="23"/>
    </row>
    <row r="192" spans="2:3" ht="18.75" customHeight="1" x14ac:dyDescent="0.4">
      <c r="B192" s="25"/>
      <c r="C192" s="23"/>
    </row>
    <row r="193" spans="2:3" ht="18.75" customHeight="1" x14ac:dyDescent="0.4">
      <c r="B193" s="25"/>
      <c r="C193" s="23"/>
    </row>
    <row r="194" spans="2:3" ht="18.75" customHeight="1" x14ac:dyDescent="0.4">
      <c r="B194" s="25"/>
      <c r="C194" s="23"/>
    </row>
    <row r="195" spans="2:3" ht="18.75" customHeight="1" x14ac:dyDescent="0.4">
      <c r="B195" s="25"/>
      <c r="C195" s="23"/>
    </row>
    <row r="196" spans="2:3" ht="18.75" customHeight="1" x14ac:dyDescent="0.4">
      <c r="B196" s="25"/>
      <c r="C196" s="23"/>
    </row>
    <row r="197" spans="2:3" ht="18.75" customHeight="1" x14ac:dyDescent="0.4">
      <c r="B197" s="25"/>
      <c r="C197" s="23"/>
    </row>
    <row r="198" spans="2:3" ht="18.75" customHeight="1" x14ac:dyDescent="0.4">
      <c r="B198" s="25"/>
      <c r="C198" s="23"/>
    </row>
    <row r="199" spans="2:3" ht="18.75" customHeight="1" x14ac:dyDescent="0.4">
      <c r="B199" s="25"/>
      <c r="C199" s="23"/>
    </row>
    <row r="200" spans="2:3" ht="18.75" customHeight="1" x14ac:dyDescent="0.4">
      <c r="B200" s="25"/>
      <c r="C200" s="23"/>
    </row>
    <row r="201" spans="2:3" ht="18.75" customHeight="1" x14ac:dyDescent="0.4">
      <c r="B201" s="25"/>
      <c r="C201" s="23"/>
    </row>
    <row r="202" spans="2:3" ht="18.75" customHeight="1" x14ac:dyDescent="0.4">
      <c r="B202" s="25"/>
      <c r="C202" s="23"/>
    </row>
    <row r="203" spans="2:3" ht="18.75" customHeight="1" x14ac:dyDescent="0.4">
      <c r="B203" s="25"/>
      <c r="C203" s="23"/>
    </row>
    <row r="204" spans="2:3" ht="18.75" customHeight="1" x14ac:dyDescent="0.4">
      <c r="B204" s="25"/>
      <c r="C204" s="23"/>
    </row>
    <row r="205" spans="2:3" ht="18.75" customHeight="1" x14ac:dyDescent="0.4">
      <c r="B205" s="25"/>
      <c r="C205" s="23"/>
    </row>
    <row r="206" spans="2:3" ht="18.75" customHeight="1" x14ac:dyDescent="0.4">
      <c r="B206" s="25"/>
      <c r="C206" s="23"/>
    </row>
    <row r="207" spans="2:3" ht="18.75" customHeight="1" x14ac:dyDescent="0.4">
      <c r="B207" s="25"/>
      <c r="C207" s="23"/>
    </row>
    <row r="208" spans="2:3" ht="18.75" customHeight="1" x14ac:dyDescent="0.4">
      <c r="B208" s="25"/>
      <c r="C208" s="23"/>
    </row>
    <row r="209" spans="2:3" ht="18.75" customHeight="1" x14ac:dyDescent="0.4">
      <c r="B209" s="25"/>
      <c r="C209" s="23"/>
    </row>
    <row r="210" spans="2:3" ht="18.75" customHeight="1" x14ac:dyDescent="0.4">
      <c r="B210" s="25"/>
      <c r="C210" s="23"/>
    </row>
    <row r="211" spans="2:3" ht="18.75" customHeight="1" x14ac:dyDescent="0.4">
      <c r="B211" s="25"/>
      <c r="C211" s="23"/>
    </row>
    <row r="212" spans="2:3" ht="18.75" customHeight="1" x14ac:dyDescent="0.4">
      <c r="B212" s="25"/>
      <c r="C212" s="23"/>
    </row>
    <row r="213" spans="2:3" ht="18.75" customHeight="1" x14ac:dyDescent="0.4">
      <c r="B213" s="25"/>
      <c r="C213" s="23"/>
    </row>
    <row r="214" spans="2:3" ht="18.75" customHeight="1" x14ac:dyDescent="0.4">
      <c r="B214" s="25"/>
      <c r="C214" s="23"/>
    </row>
    <row r="215" spans="2:3" ht="18.75" customHeight="1" x14ac:dyDescent="0.4">
      <c r="B215" s="25"/>
      <c r="C215" s="23"/>
    </row>
    <row r="216" spans="2:3" ht="18.75" customHeight="1" x14ac:dyDescent="0.4">
      <c r="B216" s="25"/>
      <c r="C216" s="23"/>
    </row>
    <row r="217" spans="2:3" ht="18.75" customHeight="1" x14ac:dyDescent="0.4">
      <c r="B217" s="25"/>
      <c r="C217" s="23"/>
    </row>
    <row r="218" spans="2:3" ht="18.75" customHeight="1" x14ac:dyDescent="0.4">
      <c r="B218" s="25"/>
      <c r="C218" s="23"/>
    </row>
    <row r="219" spans="2:3" ht="18.75" customHeight="1" x14ac:dyDescent="0.4">
      <c r="B219" s="25"/>
      <c r="C219" s="23"/>
    </row>
    <row r="220" spans="2:3" ht="18.75" customHeight="1" x14ac:dyDescent="0.4">
      <c r="B220" s="25"/>
      <c r="C220" s="23"/>
    </row>
    <row r="221" spans="2:3" ht="18.75" customHeight="1" x14ac:dyDescent="0.4">
      <c r="B221" s="25"/>
      <c r="C221" s="23"/>
    </row>
    <row r="222" spans="2:3" ht="18.75" customHeight="1" x14ac:dyDescent="0.4">
      <c r="B222" s="25"/>
      <c r="C222" s="23"/>
    </row>
    <row r="223" spans="2:3" ht="18.75" customHeight="1" x14ac:dyDescent="0.4">
      <c r="B223" s="25"/>
      <c r="C223" s="23"/>
    </row>
    <row r="224" spans="2:3" ht="18.75" customHeight="1" x14ac:dyDescent="0.4">
      <c r="B224" s="25"/>
      <c r="C224" s="23"/>
    </row>
    <row r="225" spans="2:3" ht="18.75" customHeight="1" x14ac:dyDescent="0.4">
      <c r="B225" s="25"/>
      <c r="C225" s="23"/>
    </row>
    <row r="226" spans="2:3" ht="18.75" customHeight="1" x14ac:dyDescent="0.4">
      <c r="B226" s="25"/>
      <c r="C226" s="23"/>
    </row>
    <row r="227" spans="2:3" ht="18.75" customHeight="1" x14ac:dyDescent="0.4">
      <c r="B227" s="25"/>
      <c r="C227" s="23"/>
    </row>
    <row r="228" spans="2:3" ht="18.75" customHeight="1" x14ac:dyDescent="0.4">
      <c r="B228" s="25"/>
      <c r="C228" s="23"/>
    </row>
    <row r="229" spans="2:3" ht="18.75" customHeight="1" x14ac:dyDescent="0.4">
      <c r="B229" s="25"/>
      <c r="C229" s="23"/>
    </row>
    <row r="230" spans="2:3" ht="18.75" customHeight="1" x14ac:dyDescent="0.4">
      <c r="B230" s="25"/>
      <c r="C230" s="23"/>
    </row>
    <row r="231" spans="2:3" ht="18.75" customHeight="1" x14ac:dyDescent="0.4">
      <c r="B231" s="25"/>
      <c r="C231" s="23"/>
    </row>
    <row r="232" spans="2:3" ht="18.75" customHeight="1" x14ac:dyDescent="0.4">
      <c r="B232" s="25"/>
      <c r="C232" s="23"/>
    </row>
    <row r="233" spans="2:3" ht="18.75" customHeight="1" x14ac:dyDescent="0.4">
      <c r="B233" s="25"/>
      <c r="C233" s="23"/>
    </row>
    <row r="234" spans="2:3" ht="18.75" customHeight="1" x14ac:dyDescent="0.4">
      <c r="B234" s="25"/>
      <c r="C234" s="23"/>
    </row>
    <row r="235" spans="2:3" ht="18.75" customHeight="1" x14ac:dyDescent="0.4">
      <c r="B235" s="25"/>
      <c r="C235" s="23"/>
    </row>
    <row r="236" spans="2:3" ht="18.75" customHeight="1" x14ac:dyDescent="0.4">
      <c r="B236" s="25"/>
      <c r="C236" s="23"/>
    </row>
    <row r="237" spans="2:3" ht="18.75" customHeight="1" x14ac:dyDescent="0.4">
      <c r="B237" s="25"/>
      <c r="C237" s="23"/>
    </row>
    <row r="238" spans="2:3" ht="18.75" customHeight="1" x14ac:dyDescent="0.4">
      <c r="B238" s="25"/>
      <c r="C238" s="23"/>
    </row>
    <row r="239" spans="2:3" ht="18.75" customHeight="1" x14ac:dyDescent="0.4">
      <c r="B239" s="25"/>
      <c r="C239" s="23"/>
    </row>
    <row r="240" spans="2:3" ht="18.75" customHeight="1" x14ac:dyDescent="0.4">
      <c r="B240" s="25"/>
      <c r="C240" s="23"/>
    </row>
    <row r="241" spans="2:3" ht="18.75" customHeight="1" x14ac:dyDescent="0.4">
      <c r="B241" s="25"/>
      <c r="C241" s="23"/>
    </row>
    <row r="242" spans="2:3" ht="18.75" customHeight="1" x14ac:dyDescent="0.4">
      <c r="B242" s="25"/>
      <c r="C242" s="23"/>
    </row>
    <row r="243" spans="2:3" ht="18.75" customHeight="1" x14ac:dyDescent="0.4">
      <c r="B243" s="25"/>
      <c r="C243" s="23"/>
    </row>
    <row r="244" spans="2:3" ht="18.75" customHeight="1" x14ac:dyDescent="0.4">
      <c r="B244" s="25"/>
      <c r="C244" s="23"/>
    </row>
    <row r="245" spans="2:3" ht="18.75" customHeight="1" x14ac:dyDescent="0.4">
      <c r="B245" s="25"/>
      <c r="C245" s="23"/>
    </row>
    <row r="246" spans="2:3" ht="18.75" customHeight="1" x14ac:dyDescent="0.4">
      <c r="B246" s="25"/>
      <c r="C246" s="23"/>
    </row>
    <row r="247" spans="2:3" ht="18.75" customHeight="1" x14ac:dyDescent="0.4">
      <c r="B247" s="25"/>
      <c r="C247" s="23"/>
    </row>
    <row r="248" spans="2:3" ht="18.75" customHeight="1" x14ac:dyDescent="0.4">
      <c r="B248" s="25"/>
      <c r="C248" s="23"/>
    </row>
    <row r="249" spans="2:3" ht="18.75" customHeight="1" x14ac:dyDescent="0.4">
      <c r="B249" s="25"/>
      <c r="C249" s="23"/>
    </row>
    <row r="250" spans="2:3" ht="18.75" customHeight="1" x14ac:dyDescent="0.4">
      <c r="B250" s="25"/>
      <c r="C250" s="23"/>
    </row>
    <row r="251" spans="2:3" ht="18.75" customHeight="1" x14ac:dyDescent="0.4">
      <c r="B251" s="25"/>
      <c r="C251" s="23"/>
    </row>
    <row r="252" spans="2:3" ht="18.75" customHeight="1" x14ac:dyDescent="0.4">
      <c r="B252" s="25"/>
      <c r="C252" s="23"/>
    </row>
    <row r="253" spans="2:3" ht="18.75" customHeight="1" x14ac:dyDescent="0.4">
      <c r="B253" s="25"/>
      <c r="C253" s="23"/>
    </row>
    <row r="254" spans="2:3" ht="18.75" customHeight="1" x14ac:dyDescent="0.4">
      <c r="B254" s="25"/>
      <c r="C254" s="23"/>
    </row>
    <row r="255" spans="2:3" ht="18.75" customHeight="1" x14ac:dyDescent="0.4">
      <c r="B255" s="25"/>
      <c r="C255" s="23"/>
    </row>
    <row r="256" spans="2:3" ht="18.75" customHeight="1" x14ac:dyDescent="0.4">
      <c r="B256" s="25"/>
      <c r="C256" s="23"/>
    </row>
    <row r="257" spans="2:3" ht="18.75" customHeight="1" x14ac:dyDescent="0.4">
      <c r="B257" s="25"/>
      <c r="C257" s="23"/>
    </row>
    <row r="258" spans="2:3" ht="18.75" customHeight="1" x14ac:dyDescent="0.4">
      <c r="B258" s="25"/>
      <c r="C258" s="23"/>
    </row>
    <row r="259" spans="2:3" ht="18.75" customHeight="1" x14ac:dyDescent="0.4">
      <c r="B259" s="25"/>
      <c r="C259" s="23"/>
    </row>
    <row r="260" spans="2:3" ht="18.75" customHeight="1" x14ac:dyDescent="0.4">
      <c r="B260" s="25"/>
      <c r="C260" s="23"/>
    </row>
    <row r="261" spans="2:3" ht="18.75" customHeight="1" x14ac:dyDescent="0.4">
      <c r="B261" s="25"/>
      <c r="C261" s="23"/>
    </row>
    <row r="262" spans="2:3" ht="18.75" customHeight="1" x14ac:dyDescent="0.4">
      <c r="B262" s="25"/>
      <c r="C262" s="23"/>
    </row>
    <row r="263" spans="2:3" ht="18.75" customHeight="1" x14ac:dyDescent="0.4">
      <c r="B263" s="25"/>
      <c r="C263" s="23"/>
    </row>
    <row r="264" spans="2:3" ht="18.75" customHeight="1" x14ac:dyDescent="0.4">
      <c r="B264" s="25"/>
      <c r="C264" s="23"/>
    </row>
    <row r="265" spans="2:3" ht="18.75" customHeight="1" x14ac:dyDescent="0.4">
      <c r="B265" s="25"/>
      <c r="C265" s="23"/>
    </row>
    <row r="266" spans="2:3" ht="18.75" customHeight="1" x14ac:dyDescent="0.4">
      <c r="B266" s="25"/>
      <c r="C266" s="23"/>
    </row>
    <row r="267" spans="2:3" ht="18.75" customHeight="1" x14ac:dyDescent="0.4">
      <c r="B267" s="25"/>
      <c r="C267" s="23"/>
    </row>
    <row r="268" spans="2:3" ht="18.75" customHeight="1" x14ac:dyDescent="0.4">
      <c r="B268" s="25"/>
      <c r="C268" s="23"/>
    </row>
    <row r="269" spans="2:3" ht="18.75" customHeight="1" x14ac:dyDescent="0.4">
      <c r="B269" s="25"/>
      <c r="C269" s="23"/>
    </row>
    <row r="270" spans="2:3" ht="18.75" customHeight="1" x14ac:dyDescent="0.4">
      <c r="B270" s="25"/>
      <c r="C270" s="23"/>
    </row>
    <row r="271" spans="2:3" ht="18.75" customHeight="1" x14ac:dyDescent="0.4">
      <c r="B271" s="25"/>
      <c r="C271" s="23"/>
    </row>
    <row r="272" spans="2:3" ht="18.75" customHeight="1" x14ac:dyDescent="0.4">
      <c r="B272" s="25"/>
      <c r="C272" s="23"/>
    </row>
    <row r="273" spans="2:3" ht="18.75" customHeight="1" x14ac:dyDescent="0.4">
      <c r="B273" s="25"/>
      <c r="C273" s="23"/>
    </row>
    <row r="274" spans="2:3" ht="18.75" customHeight="1" x14ac:dyDescent="0.4">
      <c r="B274" s="25"/>
      <c r="C274" s="23"/>
    </row>
    <row r="275" spans="2:3" ht="18.75" customHeight="1" x14ac:dyDescent="0.4">
      <c r="B275" s="25"/>
      <c r="C275" s="23"/>
    </row>
    <row r="276" spans="2:3" ht="18.75" customHeight="1" x14ac:dyDescent="0.4">
      <c r="B276" s="25"/>
      <c r="C276" s="23"/>
    </row>
    <row r="277" spans="2:3" ht="18.75" customHeight="1" x14ac:dyDescent="0.4">
      <c r="B277" s="25"/>
      <c r="C277" s="23"/>
    </row>
    <row r="278" spans="2:3" ht="18.75" customHeight="1" x14ac:dyDescent="0.4">
      <c r="B278" s="25"/>
      <c r="C278" s="23"/>
    </row>
    <row r="279" spans="2:3" ht="18.75" customHeight="1" x14ac:dyDescent="0.4">
      <c r="B279" s="25"/>
      <c r="C279" s="23"/>
    </row>
    <row r="280" spans="2:3" ht="18.75" customHeight="1" x14ac:dyDescent="0.4">
      <c r="B280" s="25"/>
      <c r="C280" s="23"/>
    </row>
    <row r="281" spans="2:3" ht="18.75" customHeight="1" x14ac:dyDescent="0.4">
      <c r="B281" s="25"/>
      <c r="C281" s="23"/>
    </row>
    <row r="282" spans="2:3" ht="18.75" customHeight="1" x14ac:dyDescent="0.4">
      <c r="B282" s="25"/>
      <c r="C282" s="23"/>
    </row>
    <row r="283" spans="2:3" ht="18.75" customHeight="1" x14ac:dyDescent="0.4">
      <c r="B283" s="25"/>
      <c r="C283" s="23"/>
    </row>
    <row r="284" spans="2:3" ht="18.75" customHeight="1" x14ac:dyDescent="0.4">
      <c r="B284" s="25"/>
      <c r="C284" s="23"/>
    </row>
    <row r="285" spans="2:3" ht="18.75" customHeight="1" x14ac:dyDescent="0.4">
      <c r="B285" s="25"/>
      <c r="C285" s="23"/>
    </row>
    <row r="286" spans="2:3" ht="18.75" customHeight="1" x14ac:dyDescent="0.4">
      <c r="B286" s="25"/>
      <c r="C286" s="23"/>
    </row>
    <row r="287" spans="2:3" ht="18.75" customHeight="1" x14ac:dyDescent="0.4">
      <c r="B287" s="25"/>
      <c r="C287" s="23"/>
    </row>
    <row r="288" spans="2:3" ht="18.75" customHeight="1" x14ac:dyDescent="0.4">
      <c r="B288" s="25"/>
      <c r="C288" s="23"/>
    </row>
    <row r="289" spans="2:3" ht="18.75" customHeight="1" x14ac:dyDescent="0.4">
      <c r="B289" s="25"/>
      <c r="C289" s="23"/>
    </row>
    <row r="290" spans="2:3" ht="18.75" customHeight="1" x14ac:dyDescent="0.4">
      <c r="B290" s="25"/>
      <c r="C290" s="23"/>
    </row>
    <row r="291" spans="2:3" ht="18.75" customHeight="1" x14ac:dyDescent="0.4">
      <c r="B291" s="25"/>
      <c r="C291" s="23"/>
    </row>
    <row r="292" spans="2:3" ht="18.75" customHeight="1" x14ac:dyDescent="0.4">
      <c r="B292" s="25"/>
      <c r="C292" s="23"/>
    </row>
    <row r="293" spans="2:3" ht="18.75" customHeight="1" x14ac:dyDescent="0.4">
      <c r="B293" s="25"/>
      <c r="C293" s="23"/>
    </row>
    <row r="294" spans="2:3" ht="18.75" customHeight="1" x14ac:dyDescent="0.4">
      <c r="B294" s="25"/>
      <c r="C294" s="23"/>
    </row>
    <row r="295" spans="2:3" ht="18.75" customHeight="1" x14ac:dyDescent="0.4">
      <c r="B295" s="25"/>
      <c r="C295" s="23"/>
    </row>
    <row r="296" spans="2:3" ht="18.75" customHeight="1" x14ac:dyDescent="0.4">
      <c r="B296" s="25"/>
      <c r="C296" s="23"/>
    </row>
    <row r="297" spans="2:3" ht="18.75" customHeight="1" x14ac:dyDescent="0.4">
      <c r="B297" s="25"/>
      <c r="C297" s="23"/>
    </row>
    <row r="298" spans="2:3" ht="18.75" customHeight="1" x14ac:dyDescent="0.4">
      <c r="B298" s="25"/>
      <c r="C298" s="23"/>
    </row>
    <row r="299" spans="2:3" ht="18.75" customHeight="1" x14ac:dyDescent="0.4">
      <c r="B299" s="25"/>
      <c r="C299" s="23"/>
    </row>
    <row r="300" spans="2:3" ht="18.75" customHeight="1" x14ac:dyDescent="0.4">
      <c r="B300" s="25"/>
      <c r="C300" s="23"/>
    </row>
    <row r="301" spans="2:3" ht="18.75" customHeight="1" x14ac:dyDescent="0.4">
      <c r="B301" s="25"/>
      <c r="C301" s="23"/>
    </row>
    <row r="302" spans="2:3" ht="18.75" customHeight="1" x14ac:dyDescent="0.4">
      <c r="B302" s="25"/>
      <c r="C302" s="23"/>
    </row>
    <row r="303" spans="2:3" ht="18.75" customHeight="1" x14ac:dyDescent="0.4">
      <c r="B303" s="25"/>
      <c r="C303" s="23"/>
    </row>
    <row r="304" spans="2:3" ht="18.75" customHeight="1" x14ac:dyDescent="0.4">
      <c r="B304" s="25"/>
      <c r="C304" s="23"/>
    </row>
    <row r="305" spans="2:3" ht="18.75" customHeight="1" x14ac:dyDescent="0.4">
      <c r="B305" s="25"/>
      <c r="C305" s="23"/>
    </row>
    <row r="306" spans="2:3" ht="18.75" customHeight="1" x14ac:dyDescent="0.4">
      <c r="B306" s="25"/>
      <c r="C306" s="23"/>
    </row>
    <row r="307" spans="2:3" ht="18.75" customHeight="1" x14ac:dyDescent="0.4">
      <c r="B307" s="25"/>
      <c r="C307" s="23"/>
    </row>
    <row r="308" spans="2:3" ht="18.75" customHeight="1" x14ac:dyDescent="0.4">
      <c r="B308" s="25"/>
      <c r="C308" s="23"/>
    </row>
    <row r="309" spans="2:3" ht="18.75" customHeight="1" x14ac:dyDescent="0.4">
      <c r="B309" s="25"/>
      <c r="C309" s="23"/>
    </row>
    <row r="310" spans="2:3" ht="18.75" customHeight="1" x14ac:dyDescent="0.4">
      <c r="B310" s="25"/>
      <c r="C310" s="23"/>
    </row>
    <row r="311" spans="2:3" ht="18.75" customHeight="1" x14ac:dyDescent="0.4">
      <c r="B311" s="25"/>
      <c r="C311" s="23"/>
    </row>
    <row r="312" spans="2:3" ht="18.75" customHeight="1" x14ac:dyDescent="0.4">
      <c r="B312" s="25"/>
      <c r="C312" s="23"/>
    </row>
    <row r="313" spans="2:3" ht="18.75" customHeight="1" x14ac:dyDescent="0.4">
      <c r="B313" s="25"/>
      <c r="C313" s="23"/>
    </row>
    <row r="314" spans="2:3" ht="18.75" customHeight="1" x14ac:dyDescent="0.4">
      <c r="B314" s="25"/>
      <c r="C314" s="23"/>
    </row>
    <row r="315" spans="2:3" ht="18.75" customHeight="1" x14ac:dyDescent="0.4">
      <c r="B315" s="25"/>
      <c r="C315" s="23"/>
    </row>
    <row r="316" spans="2:3" ht="18.75" customHeight="1" x14ac:dyDescent="0.4">
      <c r="B316" s="25"/>
      <c r="C316" s="23"/>
    </row>
    <row r="317" spans="2:3" ht="18.75" customHeight="1" x14ac:dyDescent="0.4">
      <c r="B317" s="25"/>
      <c r="C317" s="23"/>
    </row>
    <row r="318" spans="2:3" ht="18.75" customHeight="1" x14ac:dyDescent="0.4">
      <c r="B318" s="25"/>
      <c r="C318" s="23"/>
    </row>
    <row r="319" spans="2:3" ht="18.75" customHeight="1" x14ac:dyDescent="0.4">
      <c r="B319" s="25"/>
      <c r="C319" s="23"/>
    </row>
    <row r="320" spans="2:3" ht="18.75" customHeight="1" x14ac:dyDescent="0.4">
      <c r="B320" s="25"/>
      <c r="C320" s="23"/>
    </row>
    <row r="321" spans="2:3" ht="18.75" customHeight="1" x14ac:dyDescent="0.4">
      <c r="B321" s="25"/>
      <c r="C321" s="23"/>
    </row>
    <row r="322" spans="2:3" ht="18.75" customHeight="1" x14ac:dyDescent="0.4">
      <c r="B322" s="25"/>
      <c r="C322" s="23"/>
    </row>
    <row r="323" spans="2:3" ht="18.75" customHeight="1" x14ac:dyDescent="0.4">
      <c r="B323" s="25"/>
      <c r="C323" s="23"/>
    </row>
    <row r="324" spans="2:3" ht="18.75" customHeight="1" x14ac:dyDescent="0.4">
      <c r="B324" s="25"/>
      <c r="C324" s="23"/>
    </row>
    <row r="325" spans="2:3" ht="18.75" customHeight="1" x14ac:dyDescent="0.4">
      <c r="B325" s="25"/>
      <c r="C325" s="23"/>
    </row>
    <row r="326" spans="2:3" ht="18.75" customHeight="1" x14ac:dyDescent="0.4">
      <c r="B326" s="25"/>
      <c r="C326" s="23"/>
    </row>
    <row r="327" spans="2:3" ht="18.75" customHeight="1" x14ac:dyDescent="0.4">
      <c r="B327" s="25"/>
      <c r="C327" s="23"/>
    </row>
    <row r="328" spans="2:3" ht="18.75" customHeight="1" x14ac:dyDescent="0.4">
      <c r="B328" s="25"/>
      <c r="C328" s="23"/>
    </row>
    <row r="329" spans="2:3" ht="18.75" customHeight="1" x14ac:dyDescent="0.4">
      <c r="B329" s="25"/>
      <c r="C329" s="23"/>
    </row>
    <row r="330" spans="2:3" ht="18.75" customHeight="1" x14ac:dyDescent="0.4">
      <c r="B330" s="25"/>
      <c r="C330" s="23"/>
    </row>
    <row r="331" spans="2:3" ht="18.75" customHeight="1" x14ac:dyDescent="0.4">
      <c r="B331" s="25"/>
      <c r="C331" s="23"/>
    </row>
    <row r="332" spans="2:3" ht="18.75" customHeight="1" x14ac:dyDescent="0.4">
      <c r="B332" s="25"/>
      <c r="C332" s="23"/>
    </row>
    <row r="333" spans="2:3" ht="18.75" customHeight="1" x14ac:dyDescent="0.4">
      <c r="B333" s="25"/>
      <c r="C333" s="23"/>
    </row>
    <row r="334" spans="2:3" ht="18.75" customHeight="1" x14ac:dyDescent="0.4">
      <c r="B334" s="25"/>
      <c r="C334" s="23"/>
    </row>
    <row r="335" spans="2:3" ht="18.75" customHeight="1" x14ac:dyDescent="0.4">
      <c r="B335" s="25"/>
      <c r="C335" s="23"/>
    </row>
    <row r="336" spans="2:3" ht="18.75" customHeight="1" x14ac:dyDescent="0.4">
      <c r="B336" s="25"/>
      <c r="C336" s="23"/>
    </row>
    <row r="337" spans="2:3" ht="18.75" customHeight="1" x14ac:dyDescent="0.4">
      <c r="B337" s="25"/>
      <c r="C337" s="23"/>
    </row>
    <row r="338" spans="2:3" ht="18.75" customHeight="1" x14ac:dyDescent="0.4">
      <c r="B338" s="25"/>
      <c r="C338" s="23"/>
    </row>
    <row r="339" spans="2:3" ht="18.75" customHeight="1" x14ac:dyDescent="0.4">
      <c r="B339" s="25"/>
      <c r="C339" s="23"/>
    </row>
    <row r="340" spans="2:3" ht="18.75" customHeight="1" x14ac:dyDescent="0.4">
      <c r="B340" s="25"/>
      <c r="C340" s="23"/>
    </row>
    <row r="341" spans="2:3" ht="18.75" customHeight="1" x14ac:dyDescent="0.4">
      <c r="B341" s="25"/>
      <c r="C341" s="23"/>
    </row>
    <row r="342" spans="2:3" ht="18.75" customHeight="1" x14ac:dyDescent="0.4">
      <c r="B342" s="25"/>
      <c r="C342" s="23"/>
    </row>
    <row r="343" spans="2:3" ht="18.75" customHeight="1" x14ac:dyDescent="0.4">
      <c r="B343" s="25"/>
      <c r="C343" s="23"/>
    </row>
    <row r="344" spans="2:3" ht="18.75" customHeight="1" x14ac:dyDescent="0.4">
      <c r="B344" s="25"/>
      <c r="C344" s="23"/>
    </row>
    <row r="345" spans="2:3" ht="18.75" customHeight="1" x14ac:dyDescent="0.4">
      <c r="B345" s="25"/>
      <c r="C345" s="23"/>
    </row>
    <row r="346" spans="2:3" ht="18.75" customHeight="1" x14ac:dyDescent="0.4">
      <c r="B346" s="25"/>
      <c r="C346" s="23"/>
    </row>
    <row r="347" spans="2:3" ht="18.75" customHeight="1" x14ac:dyDescent="0.4">
      <c r="B347" s="25"/>
      <c r="C347" s="23"/>
    </row>
    <row r="348" spans="2:3" ht="18.75" customHeight="1" x14ac:dyDescent="0.4">
      <c r="B348" s="25"/>
      <c r="C348" s="23"/>
    </row>
    <row r="349" spans="2:3" ht="18.75" customHeight="1" x14ac:dyDescent="0.4">
      <c r="B349" s="25"/>
      <c r="C349" s="23"/>
    </row>
    <row r="350" spans="2:3" ht="18.75" customHeight="1" x14ac:dyDescent="0.4">
      <c r="B350" s="25"/>
      <c r="C350" s="23"/>
    </row>
    <row r="351" spans="2:3" ht="18.75" customHeight="1" x14ac:dyDescent="0.4">
      <c r="B351" s="25"/>
      <c r="C351" s="23"/>
    </row>
    <row r="352" spans="2:3" ht="18.75" customHeight="1" x14ac:dyDescent="0.4">
      <c r="B352" s="25"/>
      <c r="C352" s="23"/>
    </row>
    <row r="353" spans="2:3" ht="18.75" customHeight="1" x14ac:dyDescent="0.4">
      <c r="B353" s="25"/>
      <c r="C353" s="23"/>
    </row>
    <row r="354" spans="2:3" ht="18.75" customHeight="1" x14ac:dyDescent="0.4">
      <c r="B354" s="25"/>
      <c r="C354" s="23"/>
    </row>
    <row r="355" spans="2:3" ht="18.75" customHeight="1" x14ac:dyDescent="0.4">
      <c r="B355" s="25"/>
      <c r="C355" s="23"/>
    </row>
    <row r="356" spans="2:3" ht="18.75" customHeight="1" x14ac:dyDescent="0.4">
      <c r="B356" s="25"/>
      <c r="C356" s="23"/>
    </row>
    <row r="357" spans="2:3" ht="18.75" customHeight="1" x14ac:dyDescent="0.4">
      <c r="B357" s="25"/>
      <c r="C357" s="23"/>
    </row>
    <row r="358" spans="2:3" ht="18.75" customHeight="1" x14ac:dyDescent="0.4">
      <c r="B358" s="25"/>
      <c r="C358" s="23"/>
    </row>
    <row r="359" spans="2:3" ht="18.75" customHeight="1" x14ac:dyDescent="0.4">
      <c r="B359" s="25"/>
      <c r="C359" s="23"/>
    </row>
    <row r="360" spans="2:3" ht="18.75" customHeight="1" x14ac:dyDescent="0.4">
      <c r="B360" s="25"/>
      <c r="C360" s="23"/>
    </row>
    <row r="361" spans="2:3" ht="18.75" customHeight="1" x14ac:dyDescent="0.4">
      <c r="B361" s="25"/>
      <c r="C361" s="23"/>
    </row>
    <row r="362" spans="2:3" ht="18.75" customHeight="1" x14ac:dyDescent="0.4">
      <c r="B362" s="25"/>
      <c r="C362" s="23"/>
    </row>
    <row r="363" spans="2:3" ht="18.75" customHeight="1" x14ac:dyDescent="0.4">
      <c r="B363" s="25"/>
      <c r="C363" s="23"/>
    </row>
    <row r="364" spans="2:3" ht="18.75" customHeight="1" x14ac:dyDescent="0.4">
      <c r="B364" s="25"/>
      <c r="C364" s="23"/>
    </row>
    <row r="365" spans="2:3" ht="18.75" customHeight="1" x14ac:dyDescent="0.4">
      <c r="B365" s="25"/>
      <c r="C365" s="23"/>
    </row>
    <row r="366" spans="2:3" ht="18.75" customHeight="1" x14ac:dyDescent="0.4">
      <c r="B366" s="25"/>
      <c r="C366" s="23"/>
    </row>
    <row r="367" spans="2:3" ht="18.75" customHeight="1" x14ac:dyDescent="0.4">
      <c r="B367" s="25"/>
      <c r="C367" s="23"/>
    </row>
    <row r="368" spans="2:3" ht="18.75" customHeight="1" x14ac:dyDescent="0.4">
      <c r="B368" s="25"/>
      <c r="C368" s="23"/>
    </row>
    <row r="369" spans="2:3" ht="18.75" customHeight="1" x14ac:dyDescent="0.4">
      <c r="B369" s="25"/>
      <c r="C369" s="23"/>
    </row>
    <row r="370" spans="2:3" ht="18.75" customHeight="1" x14ac:dyDescent="0.4">
      <c r="B370" s="25"/>
      <c r="C370" s="23"/>
    </row>
    <row r="371" spans="2:3" ht="18.75" customHeight="1" x14ac:dyDescent="0.4">
      <c r="B371" s="25"/>
      <c r="C371" s="23"/>
    </row>
    <row r="372" spans="2:3" ht="18.75" customHeight="1" x14ac:dyDescent="0.4">
      <c r="B372" s="25"/>
      <c r="C372" s="23"/>
    </row>
    <row r="373" spans="2:3" ht="18.75" customHeight="1" x14ac:dyDescent="0.4">
      <c r="B373" s="25"/>
      <c r="C373" s="23"/>
    </row>
    <row r="374" spans="2:3" ht="18.75" customHeight="1" x14ac:dyDescent="0.4">
      <c r="B374" s="25"/>
      <c r="C374" s="23"/>
    </row>
    <row r="375" spans="2:3" ht="18.75" customHeight="1" x14ac:dyDescent="0.4">
      <c r="B375" s="25"/>
      <c r="C375" s="23"/>
    </row>
    <row r="376" spans="2:3" ht="18.75" customHeight="1" x14ac:dyDescent="0.4">
      <c r="B376" s="25"/>
      <c r="C376" s="23"/>
    </row>
    <row r="377" spans="2:3" ht="18.75" customHeight="1" x14ac:dyDescent="0.4">
      <c r="B377" s="25"/>
      <c r="C377" s="23"/>
    </row>
    <row r="378" spans="2:3" ht="18.75" customHeight="1" x14ac:dyDescent="0.4">
      <c r="B378" s="25"/>
      <c r="C378" s="23"/>
    </row>
    <row r="379" spans="2:3" ht="18.75" customHeight="1" x14ac:dyDescent="0.4">
      <c r="B379" s="25"/>
      <c r="C379" s="23"/>
    </row>
    <row r="380" spans="2:3" ht="18.75" customHeight="1" x14ac:dyDescent="0.4">
      <c r="B380" s="25"/>
      <c r="C380" s="23"/>
    </row>
    <row r="381" spans="2:3" ht="18.75" customHeight="1" x14ac:dyDescent="0.4">
      <c r="B381" s="25"/>
      <c r="C381" s="23"/>
    </row>
    <row r="382" spans="2:3" ht="18.75" customHeight="1" x14ac:dyDescent="0.4">
      <c r="B382" s="25"/>
      <c r="C382" s="23"/>
    </row>
    <row r="383" spans="2:3" ht="18.75" customHeight="1" x14ac:dyDescent="0.4">
      <c r="B383" s="25"/>
      <c r="C383" s="23"/>
    </row>
    <row r="384" spans="2:3" ht="18.75" customHeight="1" x14ac:dyDescent="0.4">
      <c r="B384" s="25"/>
      <c r="C384" s="23"/>
    </row>
    <row r="385" spans="2:3" ht="18.75" customHeight="1" x14ac:dyDescent="0.4">
      <c r="B385" s="25"/>
      <c r="C385" s="23"/>
    </row>
    <row r="386" spans="2:3" ht="18.75" customHeight="1" x14ac:dyDescent="0.4">
      <c r="B386" s="25"/>
      <c r="C386" s="23"/>
    </row>
    <row r="387" spans="2:3" ht="18.75" customHeight="1" x14ac:dyDescent="0.4">
      <c r="B387" s="25"/>
      <c r="C387" s="23"/>
    </row>
    <row r="388" spans="2:3" ht="18.75" customHeight="1" x14ac:dyDescent="0.4">
      <c r="B388" s="25"/>
      <c r="C388" s="23"/>
    </row>
    <row r="389" spans="2:3" ht="18.75" customHeight="1" x14ac:dyDescent="0.4">
      <c r="B389" s="25"/>
      <c r="C389" s="23"/>
    </row>
    <row r="390" spans="2:3" ht="18.75" customHeight="1" x14ac:dyDescent="0.4">
      <c r="B390" s="25"/>
      <c r="C390" s="23"/>
    </row>
    <row r="391" spans="2:3" ht="18.75" customHeight="1" x14ac:dyDescent="0.4">
      <c r="B391" s="25"/>
      <c r="C391" s="23"/>
    </row>
    <row r="392" spans="2:3" ht="18.75" customHeight="1" x14ac:dyDescent="0.4">
      <c r="B392" s="25"/>
      <c r="C392" s="23"/>
    </row>
    <row r="393" spans="2:3" ht="18.75" customHeight="1" x14ac:dyDescent="0.4">
      <c r="B393" s="25"/>
      <c r="C393" s="23"/>
    </row>
    <row r="394" spans="2:3" ht="18.75" customHeight="1" x14ac:dyDescent="0.4">
      <c r="B394" s="25"/>
      <c r="C394" s="23"/>
    </row>
    <row r="395" spans="2:3" ht="18.75" customHeight="1" x14ac:dyDescent="0.4">
      <c r="B395" s="25"/>
      <c r="C395" s="23"/>
    </row>
    <row r="396" spans="2:3" ht="18.75" customHeight="1" x14ac:dyDescent="0.4">
      <c r="B396" s="25"/>
      <c r="C396" s="23"/>
    </row>
    <row r="397" spans="2:3" ht="18.75" customHeight="1" x14ac:dyDescent="0.4">
      <c r="B397" s="25"/>
      <c r="C397" s="23"/>
    </row>
    <row r="398" spans="2:3" ht="18.75" customHeight="1" x14ac:dyDescent="0.4">
      <c r="B398" s="25"/>
      <c r="C398" s="23"/>
    </row>
    <row r="399" spans="2:3" ht="18.75" customHeight="1" x14ac:dyDescent="0.4">
      <c r="B399" s="25"/>
      <c r="C399" s="23"/>
    </row>
    <row r="400" spans="2:3" ht="18.75" customHeight="1" x14ac:dyDescent="0.4">
      <c r="B400" s="25"/>
      <c r="C400" s="23"/>
    </row>
    <row r="401" spans="2:3" ht="18.75" customHeight="1" x14ac:dyDescent="0.4">
      <c r="B401" s="25"/>
      <c r="C401" s="23"/>
    </row>
    <row r="402" spans="2:3" ht="18.75" customHeight="1" x14ac:dyDescent="0.4">
      <c r="B402" s="25"/>
      <c r="C402" s="23"/>
    </row>
    <row r="403" spans="2:3" ht="18.75" customHeight="1" x14ac:dyDescent="0.4">
      <c r="B403" s="25"/>
      <c r="C403" s="23"/>
    </row>
    <row r="404" spans="2:3" ht="18.75" customHeight="1" x14ac:dyDescent="0.4">
      <c r="B404" s="25"/>
      <c r="C404" s="23"/>
    </row>
    <row r="405" spans="2:3" ht="18.75" customHeight="1" x14ac:dyDescent="0.4">
      <c r="B405" s="25"/>
      <c r="C405" s="23"/>
    </row>
    <row r="406" spans="2:3" ht="18.75" customHeight="1" x14ac:dyDescent="0.4">
      <c r="B406" s="25"/>
      <c r="C406" s="23"/>
    </row>
    <row r="407" spans="2:3" ht="18.75" customHeight="1" x14ac:dyDescent="0.4">
      <c r="B407" s="25"/>
      <c r="C407" s="23"/>
    </row>
    <row r="408" spans="2:3" ht="18.75" customHeight="1" x14ac:dyDescent="0.4">
      <c r="B408" s="25"/>
      <c r="C408" s="23"/>
    </row>
    <row r="409" spans="2:3" ht="18.75" customHeight="1" x14ac:dyDescent="0.4">
      <c r="B409" s="25"/>
      <c r="C409" s="23"/>
    </row>
    <row r="410" spans="2:3" ht="18.75" customHeight="1" x14ac:dyDescent="0.4">
      <c r="B410" s="25"/>
      <c r="C410" s="23"/>
    </row>
    <row r="411" spans="2:3" ht="18.75" customHeight="1" x14ac:dyDescent="0.4">
      <c r="B411" s="25"/>
      <c r="C411" s="23"/>
    </row>
    <row r="412" spans="2:3" ht="18.75" customHeight="1" x14ac:dyDescent="0.4">
      <c r="B412" s="25"/>
      <c r="C412" s="23"/>
    </row>
    <row r="413" spans="2:3" ht="18.75" customHeight="1" x14ac:dyDescent="0.4">
      <c r="B413" s="25"/>
      <c r="C413" s="23"/>
    </row>
    <row r="414" spans="2:3" ht="18.75" customHeight="1" x14ac:dyDescent="0.4">
      <c r="B414" s="25"/>
      <c r="C414" s="23"/>
    </row>
    <row r="415" spans="2:3" ht="18.75" customHeight="1" x14ac:dyDescent="0.4">
      <c r="B415" s="25"/>
      <c r="C415" s="23"/>
    </row>
    <row r="416" spans="2:3" ht="18.75" customHeight="1" x14ac:dyDescent="0.4">
      <c r="B416" s="25"/>
      <c r="C416" s="23"/>
    </row>
    <row r="417" spans="2:3" ht="18.75" customHeight="1" x14ac:dyDescent="0.4">
      <c r="B417" s="25"/>
      <c r="C417" s="23"/>
    </row>
    <row r="418" spans="2:3" ht="18.75" customHeight="1" x14ac:dyDescent="0.4">
      <c r="B418" s="25"/>
      <c r="C418" s="23"/>
    </row>
    <row r="419" spans="2:3" ht="18.75" customHeight="1" x14ac:dyDescent="0.4">
      <c r="B419" s="25"/>
      <c r="C419" s="23"/>
    </row>
    <row r="420" spans="2:3" ht="18.75" customHeight="1" x14ac:dyDescent="0.4">
      <c r="B420" s="25"/>
      <c r="C420" s="23"/>
    </row>
    <row r="421" spans="2:3" ht="18.75" customHeight="1" x14ac:dyDescent="0.4">
      <c r="B421" s="25"/>
      <c r="C421" s="23"/>
    </row>
    <row r="422" spans="2:3" ht="18.75" customHeight="1" x14ac:dyDescent="0.4">
      <c r="B422" s="25"/>
      <c r="C422" s="23"/>
    </row>
    <row r="423" spans="2:3" ht="18.75" customHeight="1" x14ac:dyDescent="0.4">
      <c r="B423" s="25"/>
      <c r="C423" s="23"/>
    </row>
    <row r="424" spans="2:3" ht="18.75" customHeight="1" x14ac:dyDescent="0.4">
      <c r="B424" s="25"/>
      <c r="C424" s="23"/>
    </row>
    <row r="425" spans="2:3" ht="18.75" customHeight="1" x14ac:dyDescent="0.4">
      <c r="B425" s="25"/>
      <c r="C425" s="23"/>
    </row>
    <row r="426" spans="2:3" ht="18.75" customHeight="1" x14ac:dyDescent="0.4">
      <c r="B426" s="25"/>
      <c r="C426" s="23"/>
    </row>
    <row r="427" spans="2:3" ht="18.75" customHeight="1" x14ac:dyDescent="0.4">
      <c r="B427" s="25"/>
      <c r="C427" s="23"/>
    </row>
    <row r="428" spans="2:3" ht="18.75" customHeight="1" x14ac:dyDescent="0.4">
      <c r="B428" s="25"/>
      <c r="C428" s="23"/>
    </row>
    <row r="429" spans="2:3" ht="18.75" customHeight="1" x14ac:dyDescent="0.4">
      <c r="B429" s="25"/>
      <c r="C429" s="23"/>
    </row>
    <row r="430" spans="2:3" ht="18.75" customHeight="1" x14ac:dyDescent="0.4">
      <c r="B430" s="25"/>
      <c r="C430" s="23"/>
    </row>
    <row r="431" spans="2:3" ht="18.75" customHeight="1" x14ac:dyDescent="0.4">
      <c r="B431" s="25"/>
      <c r="C431" s="23"/>
    </row>
    <row r="432" spans="2:3" ht="18.75" customHeight="1" x14ac:dyDescent="0.4">
      <c r="B432" s="25"/>
      <c r="C432" s="23"/>
    </row>
    <row r="433" spans="2:3" ht="18.75" customHeight="1" x14ac:dyDescent="0.4">
      <c r="B433" s="25"/>
      <c r="C433" s="23"/>
    </row>
    <row r="434" spans="2:3" ht="18.75" customHeight="1" x14ac:dyDescent="0.4">
      <c r="B434" s="25"/>
      <c r="C434" s="23"/>
    </row>
    <row r="435" spans="2:3" ht="18.75" customHeight="1" x14ac:dyDescent="0.4">
      <c r="B435" s="25"/>
      <c r="C435" s="23"/>
    </row>
    <row r="436" spans="2:3" ht="18.75" customHeight="1" x14ac:dyDescent="0.4">
      <c r="B436" s="25"/>
      <c r="C436" s="23"/>
    </row>
    <row r="437" spans="2:3" ht="18.75" customHeight="1" x14ac:dyDescent="0.4">
      <c r="B437" s="25"/>
      <c r="C437" s="23"/>
    </row>
    <row r="438" spans="2:3" ht="18.75" customHeight="1" x14ac:dyDescent="0.4">
      <c r="B438" s="25"/>
      <c r="C438" s="23"/>
    </row>
    <row r="439" spans="2:3" ht="18.75" customHeight="1" x14ac:dyDescent="0.4">
      <c r="B439" s="25"/>
      <c r="C439" s="23"/>
    </row>
    <row r="440" spans="2:3" ht="18.75" customHeight="1" x14ac:dyDescent="0.4">
      <c r="B440" s="25"/>
      <c r="C440" s="23"/>
    </row>
    <row r="441" spans="2:3" ht="18.75" customHeight="1" x14ac:dyDescent="0.4">
      <c r="B441" s="25"/>
      <c r="C441" s="23"/>
    </row>
    <row r="442" spans="2:3" ht="18.75" customHeight="1" x14ac:dyDescent="0.4">
      <c r="B442" s="25"/>
      <c r="C442" s="23"/>
    </row>
    <row r="443" spans="2:3" ht="18.75" customHeight="1" x14ac:dyDescent="0.4">
      <c r="B443" s="25"/>
      <c r="C443" s="23"/>
    </row>
    <row r="444" spans="2:3" ht="18.75" customHeight="1" x14ac:dyDescent="0.4">
      <c r="B444" s="25"/>
      <c r="C444" s="23"/>
    </row>
    <row r="445" spans="2:3" ht="18.75" customHeight="1" x14ac:dyDescent="0.4">
      <c r="B445" s="25"/>
      <c r="C445" s="23"/>
    </row>
    <row r="446" spans="2:3" ht="18.75" customHeight="1" x14ac:dyDescent="0.4">
      <c r="B446" s="25"/>
      <c r="C446" s="23"/>
    </row>
    <row r="447" spans="2:3" ht="18.75" customHeight="1" x14ac:dyDescent="0.4">
      <c r="B447" s="25"/>
      <c r="C447" s="23"/>
    </row>
    <row r="448" spans="2:3" ht="18.75" customHeight="1" x14ac:dyDescent="0.4">
      <c r="B448" s="25"/>
      <c r="C448" s="23"/>
    </row>
    <row r="449" spans="2:3" ht="18.75" customHeight="1" x14ac:dyDescent="0.4">
      <c r="B449" s="25"/>
      <c r="C449" s="23"/>
    </row>
    <row r="450" spans="2:3" ht="18.75" customHeight="1" x14ac:dyDescent="0.4">
      <c r="B450" s="25"/>
      <c r="C450" s="23"/>
    </row>
    <row r="451" spans="2:3" ht="18.75" customHeight="1" x14ac:dyDescent="0.4">
      <c r="B451" s="25"/>
      <c r="C451" s="23"/>
    </row>
    <row r="452" spans="2:3" ht="18.75" customHeight="1" x14ac:dyDescent="0.4">
      <c r="B452" s="25"/>
      <c r="C452" s="23"/>
    </row>
    <row r="453" spans="2:3" ht="18.75" customHeight="1" x14ac:dyDescent="0.4">
      <c r="B453" s="25"/>
      <c r="C453" s="23"/>
    </row>
    <row r="454" spans="2:3" ht="18.75" customHeight="1" x14ac:dyDescent="0.4">
      <c r="B454" s="25"/>
      <c r="C454" s="23"/>
    </row>
    <row r="455" spans="2:3" ht="18.75" customHeight="1" x14ac:dyDescent="0.4">
      <c r="B455" s="25"/>
      <c r="C455" s="23"/>
    </row>
    <row r="456" spans="2:3" ht="18.75" customHeight="1" x14ac:dyDescent="0.4">
      <c r="B456" s="25"/>
      <c r="C456" s="23"/>
    </row>
    <row r="457" spans="2:3" ht="18.75" customHeight="1" x14ac:dyDescent="0.4">
      <c r="B457" s="25"/>
      <c r="C457" s="23"/>
    </row>
    <row r="458" spans="2:3" ht="18.75" customHeight="1" x14ac:dyDescent="0.4">
      <c r="B458" s="25"/>
      <c r="C458" s="23"/>
    </row>
    <row r="459" spans="2:3" ht="18.75" customHeight="1" x14ac:dyDescent="0.4">
      <c r="B459" s="25"/>
      <c r="C459" s="23"/>
    </row>
    <row r="460" spans="2:3" ht="18.75" customHeight="1" x14ac:dyDescent="0.4">
      <c r="B460" s="25"/>
      <c r="C460" s="23"/>
    </row>
    <row r="461" spans="2:3" ht="18.75" customHeight="1" x14ac:dyDescent="0.4">
      <c r="B461" s="25"/>
      <c r="C461" s="23"/>
    </row>
    <row r="462" spans="2:3" ht="18.75" customHeight="1" x14ac:dyDescent="0.4">
      <c r="B462" s="25"/>
      <c r="C462" s="23"/>
    </row>
    <row r="463" spans="2:3" ht="18.75" customHeight="1" x14ac:dyDescent="0.4">
      <c r="B463" s="25"/>
      <c r="C463" s="23"/>
    </row>
    <row r="464" spans="2:3" ht="18.75" customHeight="1" x14ac:dyDescent="0.4">
      <c r="B464" s="25"/>
      <c r="C464" s="23"/>
    </row>
    <row r="465" spans="2:3" ht="18.75" customHeight="1" x14ac:dyDescent="0.4">
      <c r="B465" s="25"/>
      <c r="C465" s="23"/>
    </row>
    <row r="466" spans="2:3" ht="18.75" customHeight="1" x14ac:dyDescent="0.4">
      <c r="B466" s="25"/>
      <c r="C466" s="23"/>
    </row>
    <row r="467" spans="2:3" ht="18.75" customHeight="1" x14ac:dyDescent="0.4">
      <c r="B467" s="25"/>
      <c r="C467" s="23"/>
    </row>
    <row r="468" spans="2:3" ht="18.75" customHeight="1" x14ac:dyDescent="0.4">
      <c r="B468" s="25"/>
      <c r="C468" s="23"/>
    </row>
    <row r="469" spans="2:3" ht="18.75" customHeight="1" x14ac:dyDescent="0.4">
      <c r="B469" s="25"/>
      <c r="C469" s="23"/>
    </row>
    <row r="470" spans="2:3" ht="18.75" customHeight="1" x14ac:dyDescent="0.4">
      <c r="B470" s="25"/>
      <c r="C470" s="23"/>
    </row>
    <row r="471" spans="2:3" ht="18.75" customHeight="1" x14ac:dyDescent="0.4">
      <c r="B471" s="25"/>
      <c r="C471" s="23"/>
    </row>
    <row r="472" spans="2:3" ht="18.75" customHeight="1" x14ac:dyDescent="0.4">
      <c r="B472" s="25"/>
      <c r="C472" s="23"/>
    </row>
    <row r="473" spans="2:3" ht="18.75" customHeight="1" x14ac:dyDescent="0.4">
      <c r="B473" s="25"/>
      <c r="C473" s="23"/>
    </row>
    <row r="474" spans="2:3" ht="18.75" customHeight="1" x14ac:dyDescent="0.4">
      <c r="B474" s="25"/>
      <c r="C474" s="23"/>
    </row>
    <row r="475" spans="2:3" ht="18.75" customHeight="1" x14ac:dyDescent="0.4">
      <c r="B475" s="25"/>
      <c r="C475" s="23"/>
    </row>
    <row r="476" spans="2:3" ht="18.75" customHeight="1" x14ac:dyDescent="0.4">
      <c r="B476" s="25"/>
      <c r="C476" s="23"/>
    </row>
    <row r="477" spans="2:3" ht="18.75" customHeight="1" x14ac:dyDescent="0.4">
      <c r="B477" s="25"/>
      <c r="C477" s="23"/>
    </row>
    <row r="478" spans="2:3" ht="18.75" customHeight="1" x14ac:dyDescent="0.4">
      <c r="B478" s="25"/>
      <c r="C478" s="23"/>
    </row>
    <row r="479" spans="2:3" ht="18.75" customHeight="1" x14ac:dyDescent="0.4">
      <c r="B479" s="25"/>
      <c r="C479" s="23"/>
    </row>
    <row r="480" spans="2:3" ht="18.75" customHeight="1" x14ac:dyDescent="0.4">
      <c r="B480" s="25"/>
      <c r="C480" s="23"/>
    </row>
    <row r="481" spans="2:3" ht="18.75" customHeight="1" x14ac:dyDescent="0.4">
      <c r="B481" s="25"/>
      <c r="C481" s="23"/>
    </row>
    <row r="482" spans="2:3" ht="18.75" customHeight="1" x14ac:dyDescent="0.4">
      <c r="B482" s="25"/>
      <c r="C482" s="23"/>
    </row>
    <row r="483" spans="2:3" ht="18.75" customHeight="1" x14ac:dyDescent="0.4">
      <c r="B483" s="25"/>
      <c r="C483" s="23"/>
    </row>
    <row r="484" spans="2:3" ht="18.75" customHeight="1" x14ac:dyDescent="0.4">
      <c r="B484" s="25"/>
      <c r="C484" s="23"/>
    </row>
    <row r="485" spans="2:3" ht="18.75" customHeight="1" x14ac:dyDescent="0.4">
      <c r="B485" s="25"/>
      <c r="C485" s="23"/>
    </row>
    <row r="486" spans="2:3" ht="18.75" customHeight="1" x14ac:dyDescent="0.4">
      <c r="B486" s="25"/>
      <c r="C486" s="23"/>
    </row>
    <row r="487" spans="2:3" ht="18.75" customHeight="1" x14ac:dyDescent="0.4">
      <c r="B487" s="25"/>
      <c r="C487" s="23"/>
    </row>
    <row r="488" spans="2:3" ht="18.75" customHeight="1" x14ac:dyDescent="0.4">
      <c r="B488" s="25"/>
      <c r="C488" s="23"/>
    </row>
    <row r="489" spans="2:3" ht="18.75" customHeight="1" x14ac:dyDescent="0.4">
      <c r="B489" s="25"/>
      <c r="C489" s="23"/>
    </row>
    <row r="490" spans="2:3" ht="18.75" customHeight="1" x14ac:dyDescent="0.4">
      <c r="B490" s="25"/>
      <c r="C490" s="23"/>
    </row>
    <row r="491" spans="2:3" ht="18.75" customHeight="1" x14ac:dyDescent="0.4">
      <c r="B491" s="25"/>
      <c r="C491" s="23"/>
    </row>
    <row r="492" spans="2:3" ht="18.75" customHeight="1" x14ac:dyDescent="0.4">
      <c r="B492" s="25"/>
      <c r="C492" s="23"/>
    </row>
    <row r="493" spans="2:3" ht="18.75" customHeight="1" x14ac:dyDescent="0.4">
      <c r="B493" s="25"/>
      <c r="C493" s="23"/>
    </row>
    <row r="494" spans="2:3" ht="18.75" customHeight="1" x14ac:dyDescent="0.4">
      <c r="B494" s="25"/>
      <c r="C494" s="23"/>
    </row>
    <row r="495" spans="2:3" ht="18.75" customHeight="1" x14ac:dyDescent="0.4">
      <c r="B495" s="25"/>
      <c r="C495" s="23"/>
    </row>
    <row r="496" spans="2:3" ht="18.75" customHeight="1" x14ac:dyDescent="0.4">
      <c r="B496" s="25"/>
      <c r="C496" s="23"/>
    </row>
    <row r="497" spans="2:3" ht="18.75" customHeight="1" x14ac:dyDescent="0.4">
      <c r="B497" s="25"/>
      <c r="C497" s="23"/>
    </row>
    <row r="498" spans="2:3" ht="18.75" customHeight="1" x14ac:dyDescent="0.4">
      <c r="B498" s="25"/>
      <c r="C498" s="23"/>
    </row>
    <row r="499" spans="2:3" ht="18.75" customHeight="1" x14ac:dyDescent="0.4">
      <c r="B499" s="25"/>
      <c r="C499" s="23"/>
    </row>
    <row r="500" spans="2:3" ht="18.75" customHeight="1" x14ac:dyDescent="0.4">
      <c r="B500" s="25"/>
      <c r="C500" s="23"/>
    </row>
    <row r="501" spans="2:3" ht="18.75" customHeight="1" x14ac:dyDescent="0.4">
      <c r="B501" s="25"/>
      <c r="C501" s="23"/>
    </row>
    <row r="502" spans="2:3" ht="18.75" customHeight="1" x14ac:dyDescent="0.4">
      <c r="B502" s="25"/>
      <c r="C502" s="23"/>
    </row>
    <row r="503" spans="2:3" ht="18.75" customHeight="1" x14ac:dyDescent="0.4">
      <c r="B503" s="25"/>
      <c r="C503" s="23"/>
    </row>
    <row r="504" spans="2:3" ht="18.75" customHeight="1" x14ac:dyDescent="0.4">
      <c r="B504" s="25"/>
      <c r="C504" s="23"/>
    </row>
    <row r="505" spans="2:3" ht="18.75" customHeight="1" x14ac:dyDescent="0.4">
      <c r="B505" s="25"/>
      <c r="C505" s="23"/>
    </row>
    <row r="506" spans="2:3" ht="18.75" customHeight="1" x14ac:dyDescent="0.4">
      <c r="B506" s="25"/>
      <c r="C506" s="23"/>
    </row>
    <row r="507" spans="2:3" ht="18.75" customHeight="1" x14ac:dyDescent="0.4">
      <c r="B507" s="25"/>
      <c r="C507" s="23"/>
    </row>
    <row r="508" spans="2:3" ht="18.75" customHeight="1" x14ac:dyDescent="0.4">
      <c r="B508" s="25"/>
      <c r="C508" s="23"/>
    </row>
    <row r="509" spans="2:3" ht="18.75" customHeight="1" x14ac:dyDescent="0.4">
      <c r="B509" s="25"/>
      <c r="C509" s="23"/>
    </row>
    <row r="510" spans="2:3" ht="18.75" customHeight="1" x14ac:dyDescent="0.4">
      <c r="B510" s="25"/>
      <c r="C510" s="23"/>
    </row>
    <row r="511" spans="2:3" ht="18.75" customHeight="1" x14ac:dyDescent="0.4">
      <c r="B511" s="25"/>
      <c r="C511" s="23"/>
    </row>
    <row r="512" spans="2:3" ht="18.75" customHeight="1" x14ac:dyDescent="0.4">
      <c r="B512" s="25"/>
      <c r="C512" s="23"/>
    </row>
    <row r="513" spans="2:3" ht="18.75" customHeight="1" x14ac:dyDescent="0.4">
      <c r="B513" s="25"/>
      <c r="C513" s="23"/>
    </row>
    <row r="514" spans="2:3" ht="18.75" customHeight="1" x14ac:dyDescent="0.4">
      <c r="B514" s="25"/>
      <c r="C514" s="23"/>
    </row>
    <row r="515" spans="2:3" ht="18.75" customHeight="1" x14ac:dyDescent="0.4">
      <c r="B515" s="25"/>
      <c r="C515" s="23"/>
    </row>
    <row r="516" spans="2:3" ht="18.75" customHeight="1" x14ac:dyDescent="0.4">
      <c r="B516" s="25"/>
      <c r="C516" s="23"/>
    </row>
    <row r="517" spans="2:3" ht="18.75" customHeight="1" x14ac:dyDescent="0.4">
      <c r="B517" s="25"/>
      <c r="C517" s="23"/>
    </row>
    <row r="518" spans="2:3" ht="18.75" customHeight="1" x14ac:dyDescent="0.4">
      <c r="B518" s="25"/>
      <c r="C518" s="23"/>
    </row>
    <row r="519" spans="2:3" ht="18.75" customHeight="1" x14ac:dyDescent="0.4">
      <c r="B519" s="25"/>
      <c r="C519" s="23"/>
    </row>
    <row r="520" spans="2:3" ht="18.75" customHeight="1" x14ac:dyDescent="0.4">
      <c r="B520" s="25"/>
      <c r="C520" s="23"/>
    </row>
    <row r="521" spans="2:3" ht="18.75" customHeight="1" x14ac:dyDescent="0.4">
      <c r="B521" s="25"/>
      <c r="C521" s="23"/>
    </row>
    <row r="522" spans="2:3" ht="18.75" customHeight="1" x14ac:dyDescent="0.4">
      <c r="B522" s="25"/>
      <c r="C522" s="23"/>
    </row>
    <row r="523" spans="2:3" ht="18.75" customHeight="1" x14ac:dyDescent="0.4">
      <c r="B523" s="25"/>
      <c r="C523" s="23"/>
    </row>
    <row r="524" spans="2:3" ht="18.75" customHeight="1" x14ac:dyDescent="0.4">
      <c r="B524" s="25"/>
      <c r="C524" s="23"/>
    </row>
    <row r="525" spans="2:3" ht="18.75" customHeight="1" x14ac:dyDescent="0.4">
      <c r="B525" s="25"/>
      <c r="C525" s="23"/>
    </row>
    <row r="526" spans="2:3" ht="18.75" customHeight="1" x14ac:dyDescent="0.4">
      <c r="B526" s="25"/>
      <c r="C526" s="23"/>
    </row>
    <row r="527" spans="2:3" ht="18.75" customHeight="1" x14ac:dyDescent="0.4">
      <c r="B527" s="25"/>
      <c r="C527" s="23"/>
    </row>
    <row r="528" spans="2:3" ht="18.75" customHeight="1" x14ac:dyDescent="0.4">
      <c r="B528" s="25"/>
      <c r="C528" s="23"/>
    </row>
    <row r="529" spans="2:3" ht="18.75" customHeight="1" x14ac:dyDescent="0.4">
      <c r="B529" s="25"/>
      <c r="C529" s="23"/>
    </row>
    <row r="530" spans="2:3" ht="18.75" customHeight="1" x14ac:dyDescent="0.4">
      <c r="B530" s="25"/>
      <c r="C530" s="23"/>
    </row>
    <row r="531" spans="2:3" ht="18.75" customHeight="1" x14ac:dyDescent="0.4">
      <c r="B531" s="25"/>
      <c r="C531" s="23"/>
    </row>
    <row r="532" spans="2:3" ht="18.75" customHeight="1" x14ac:dyDescent="0.4">
      <c r="B532" s="25"/>
      <c r="C532" s="23"/>
    </row>
    <row r="533" spans="2:3" ht="18.75" customHeight="1" x14ac:dyDescent="0.4">
      <c r="B533" s="25"/>
      <c r="C533" s="23"/>
    </row>
    <row r="534" spans="2:3" ht="18.75" customHeight="1" x14ac:dyDescent="0.4">
      <c r="B534" s="25"/>
      <c r="C534" s="23"/>
    </row>
    <row r="535" spans="2:3" ht="18.75" customHeight="1" x14ac:dyDescent="0.4">
      <c r="B535" s="25"/>
      <c r="C535" s="23"/>
    </row>
    <row r="536" spans="2:3" ht="18.75" customHeight="1" x14ac:dyDescent="0.4">
      <c r="B536" s="25"/>
      <c r="C536" s="23"/>
    </row>
    <row r="537" spans="2:3" ht="18.75" customHeight="1" x14ac:dyDescent="0.4">
      <c r="B537" s="25"/>
      <c r="C537" s="23"/>
    </row>
    <row r="538" spans="2:3" ht="18.75" customHeight="1" x14ac:dyDescent="0.4">
      <c r="B538" s="25"/>
      <c r="C538" s="23"/>
    </row>
    <row r="539" spans="2:3" ht="18.75" customHeight="1" x14ac:dyDescent="0.4">
      <c r="B539" s="25"/>
      <c r="C539" s="23"/>
    </row>
    <row r="540" spans="2:3" ht="18.75" customHeight="1" x14ac:dyDescent="0.4">
      <c r="B540" s="25"/>
      <c r="C540" s="23"/>
    </row>
    <row r="541" spans="2:3" ht="18.75" customHeight="1" x14ac:dyDescent="0.4">
      <c r="B541" s="25"/>
      <c r="C541" s="23"/>
    </row>
    <row r="542" spans="2:3" ht="18.75" customHeight="1" x14ac:dyDescent="0.4">
      <c r="B542" s="25"/>
      <c r="C542" s="23"/>
    </row>
    <row r="543" spans="2:3" ht="18.75" customHeight="1" x14ac:dyDescent="0.4">
      <c r="B543" s="25"/>
      <c r="C543" s="23"/>
    </row>
    <row r="544" spans="2:3" ht="18.75" customHeight="1" x14ac:dyDescent="0.4">
      <c r="B544" s="25"/>
      <c r="C544" s="23"/>
    </row>
    <row r="545" spans="2:3" ht="18.75" customHeight="1" x14ac:dyDescent="0.4">
      <c r="B545" s="25"/>
      <c r="C545" s="23"/>
    </row>
    <row r="546" spans="2:3" ht="18.75" customHeight="1" x14ac:dyDescent="0.4">
      <c r="B546" s="25"/>
      <c r="C546" s="23"/>
    </row>
    <row r="547" spans="2:3" ht="18.75" customHeight="1" x14ac:dyDescent="0.4">
      <c r="B547" s="25"/>
      <c r="C547" s="23"/>
    </row>
    <row r="548" spans="2:3" ht="18.75" customHeight="1" x14ac:dyDescent="0.4">
      <c r="B548" s="25"/>
      <c r="C548" s="23"/>
    </row>
    <row r="549" spans="2:3" ht="18.75" customHeight="1" x14ac:dyDescent="0.4">
      <c r="B549" s="25"/>
      <c r="C549" s="23"/>
    </row>
    <row r="550" spans="2:3" ht="18.75" customHeight="1" x14ac:dyDescent="0.4">
      <c r="B550" s="25"/>
      <c r="C550" s="23"/>
    </row>
    <row r="551" spans="2:3" ht="18.75" customHeight="1" x14ac:dyDescent="0.4">
      <c r="B551" s="25"/>
      <c r="C551" s="23"/>
    </row>
    <row r="552" spans="2:3" ht="18.75" customHeight="1" x14ac:dyDescent="0.4">
      <c r="B552" s="25"/>
      <c r="C552" s="23"/>
    </row>
    <row r="553" spans="2:3" ht="18.75" customHeight="1" x14ac:dyDescent="0.4">
      <c r="B553" s="25"/>
      <c r="C553" s="23"/>
    </row>
    <row r="554" spans="2:3" ht="18.75" customHeight="1" x14ac:dyDescent="0.4">
      <c r="B554" s="25"/>
      <c r="C554" s="23"/>
    </row>
    <row r="555" spans="2:3" ht="18.75" customHeight="1" x14ac:dyDescent="0.4">
      <c r="B555" s="25"/>
      <c r="C555" s="23"/>
    </row>
    <row r="556" spans="2:3" ht="18.75" customHeight="1" x14ac:dyDescent="0.4">
      <c r="B556" s="25"/>
      <c r="C556" s="23"/>
    </row>
    <row r="557" spans="2:3" ht="18.75" customHeight="1" x14ac:dyDescent="0.4">
      <c r="B557" s="25"/>
      <c r="C557" s="23"/>
    </row>
    <row r="558" spans="2:3" ht="18.75" customHeight="1" x14ac:dyDescent="0.4">
      <c r="B558" s="25"/>
      <c r="C558" s="23"/>
    </row>
    <row r="559" spans="2:3" ht="18.75" customHeight="1" x14ac:dyDescent="0.4">
      <c r="B559" s="25"/>
      <c r="C559" s="23"/>
    </row>
    <row r="560" spans="2:3" ht="18.75" customHeight="1" x14ac:dyDescent="0.4">
      <c r="B560" s="25"/>
      <c r="C560" s="23"/>
    </row>
    <row r="561" spans="2:3" ht="18.75" customHeight="1" x14ac:dyDescent="0.4">
      <c r="B561" s="25"/>
      <c r="C561" s="23"/>
    </row>
    <row r="562" spans="2:3" ht="18.75" customHeight="1" x14ac:dyDescent="0.4">
      <c r="B562" s="25"/>
      <c r="C562" s="23"/>
    </row>
    <row r="563" spans="2:3" ht="18.75" customHeight="1" x14ac:dyDescent="0.4">
      <c r="B563" s="25"/>
      <c r="C563" s="23"/>
    </row>
    <row r="564" spans="2:3" ht="18.75" customHeight="1" x14ac:dyDescent="0.4">
      <c r="B564" s="25"/>
      <c r="C564" s="23"/>
    </row>
    <row r="565" spans="2:3" ht="18.75" customHeight="1" x14ac:dyDescent="0.4">
      <c r="B565" s="25"/>
      <c r="C565" s="23"/>
    </row>
    <row r="566" spans="2:3" ht="18.75" customHeight="1" x14ac:dyDescent="0.4">
      <c r="B566" s="25"/>
      <c r="C566" s="23"/>
    </row>
    <row r="567" spans="2:3" ht="18.75" customHeight="1" x14ac:dyDescent="0.4">
      <c r="B567" s="25"/>
      <c r="C567" s="23"/>
    </row>
    <row r="568" spans="2:3" ht="18.75" customHeight="1" x14ac:dyDescent="0.4">
      <c r="B568" s="25"/>
      <c r="C568" s="23"/>
    </row>
    <row r="569" spans="2:3" ht="18.75" customHeight="1" x14ac:dyDescent="0.4">
      <c r="B569" s="25"/>
      <c r="C569" s="23"/>
    </row>
    <row r="570" spans="2:3" ht="18.75" customHeight="1" x14ac:dyDescent="0.4">
      <c r="B570" s="25"/>
      <c r="C570" s="23"/>
    </row>
    <row r="571" spans="2:3" ht="18.75" customHeight="1" x14ac:dyDescent="0.4">
      <c r="B571" s="25"/>
      <c r="C571" s="23"/>
    </row>
    <row r="572" spans="2:3" ht="18.75" customHeight="1" x14ac:dyDescent="0.4">
      <c r="B572" s="25"/>
      <c r="C572" s="23"/>
    </row>
    <row r="573" spans="2:3" ht="18.75" customHeight="1" x14ac:dyDescent="0.4">
      <c r="B573" s="25"/>
      <c r="C573" s="23"/>
    </row>
    <row r="574" spans="2:3" ht="18.75" customHeight="1" x14ac:dyDescent="0.4">
      <c r="B574" s="25"/>
      <c r="C574" s="23"/>
    </row>
    <row r="575" spans="2:3" ht="18.75" customHeight="1" x14ac:dyDescent="0.4">
      <c r="B575" s="25"/>
      <c r="C575" s="23"/>
    </row>
    <row r="576" spans="2:3" ht="18.75" customHeight="1" x14ac:dyDescent="0.4">
      <c r="B576" s="25"/>
      <c r="C576" s="23"/>
    </row>
    <row r="577" spans="2:3" ht="18.75" customHeight="1" x14ac:dyDescent="0.4">
      <c r="B577" s="25"/>
      <c r="C577" s="23"/>
    </row>
    <row r="578" spans="2:3" ht="18.75" customHeight="1" x14ac:dyDescent="0.4">
      <c r="B578" s="25"/>
      <c r="C578" s="23"/>
    </row>
    <row r="579" spans="2:3" ht="18.75" customHeight="1" x14ac:dyDescent="0.4">
      <c r="B579" s="25"/>
      <c r="C579" s="23"/>
    </row>
    <row r="580" spans="2:3" ht="18.75" customHeight="1" x14ac:dyDescent="0.4">
      <c r="B580" s="25"/>
      <c r="C580" s="23"/>
    </row>
    <row r="581" spans="2:3" ht="18.75" customHeight="1" x14ac:dyDescent="0.4">
      <c r="B581" s="25"/>
      <c r="C581" s="23"/>
    </row>
    <row r="582" spans="2:3" ht="18.75" customHeight="1" x14ac:dyDescent="0.4">
      <c r="B582" s="25"/>
      <c r="C582" s="23"/>
    </row>
    <row r="583" spans="2:3" ht="18.75" customHeight="1" x14ac:dyDescent="0.4">
      <c r="B583" s="25"/>
      <c r="C583" s="23"/>
    </row>
    <row r="584" spans="2:3" ht="18.75" customHeight="1" x14ac:dyDescent="0.4">
      <c r="B584" s="25"/>
      <c r="C584" s="23"/>
    </row>
    <row r="585" spans="2:3" ht="18.75" customHeight="1" x14ac:dyDescent="0.4">
      <c r="B585" s="25"/>
      <c r="C585" s="23"/>
    </row>
    <row r="586" spans="2:3" ht="18.75" customHeight="1" x14ac:dyDescent="0.4">
      <c r="B586" s="25"/>
      <c r="C586" s="23"/>
    </row>
    <row r="587" spans="2:3" ht="18.75" customHeight="1" x14ac:dyDescent="0.4">
      <c r="B587" s="25"/>
      <c r="C587" s="23"/>
    </row>
    <row r="588" spans="2:3" ht="18.75" customHeight="1" x14ac:dyDescent="0.4">
      <c r="B588" s="25"/>
      <c r="C588" s="23"/>
    </row>
    <row r="589" spans="2:3" ht="18.75" customHeight="1" x14ac:dyDescent="0.4">
      <c r="B589" s="25"/>
      <c r="C589" s="23"/>
    </row>
    <row r="590" spans="2:3" ht="18.75" customHeight="1" x14ac:dyDescent="0.4">
      <c r="B590" s="25"/>
      <c r="C590" s="23"/>
    </row>
    <row r="591" spans="2:3" ht="18.75" customHeight="1" x14ac:dyDescent="0.4">
      <c r="B591" s="25"/>
      <c r="C591" s="23"/>
    </row>
    <row r="592" spans="2:3" ht="18.75" customHeight="1" x14ac:dyDescent="0.4">
      <c r="B592" s="25"/>
      <c r="C592" s="23"/>
    </row>
    <row r="593" spans="2:3" ht="18.75" customHeight="1" x14ac:dyDescent="0.4">
      <c r="B593" s="25"/>
      <c r="C593" s="23"/>
    </row>
    <row r="594" spans="2:3" ht="18.75" customHeight="1" x14ac:dyDescent="0.4">
      <c r="B594" s="25"/>
      <c r="C594" s="23"/>
    </row>
    <row r="595" spans="2:3" ht="18.75" customHeight="1" x14ac:dyDescent="0.4">
      <c r="B595" s="25"/>
      <c r="C595" s="23"/>
    </row>
    <row r="596" spans="2:3" ht="18.75" customHeight="1" x14ac:dyDescent="0.4">
      <c r="B596" s="25"/>
      <c r="C596" s="23"/>
    </row>
    <row r="597" spans="2:3" ht="18.75" customHeight="1" x14ac:dyDescent="0.4">
      <c r="B597" s="25"/>
      <c r="C597" s="23"/>
    </row>
    <row r="598" spans="2:3" ht="18.75" customHeight="1" x14ac:dyDescent="0.4">
      <c r="B598" s="25"/>
      <c r="C598" s="23"/>
    </row>
    <row r="599" spans="2:3" ht="18.75" customHeight="1" x14ac:dyDescent="0.4">
      <c r="B599" s="25"/>
      <c r="C599" s="23"/>
    </row>
    <row r="600" spans="2:3" ht="18.75" customHeight="1" x14ac:dyDescent="0.4">
      <c r="B600" s="25"/>
      <c r="C600" s="23"/>
    </row>
    <row r="601" spans="2:3" ht="18.75" customHeight="1" x14ac:dyDescent="0.4">
      <c r="B601" s="25"/>
      <c r="C601" s="23"/>
    </row>
    <row r="602" spans="2:3" ht="18.75" customHeight="1" x14ac:dyDescent="0.4">
      <c r="B602" s="25"/>
      <c r="C602" s="23"/>
    </row>
    <row r="603" spans="2:3" ht="18.75" customHeight="1" x14ac:dyDescent="0.4">
      <c r="B603" s="25"/>
      <c r="C603" s="23"/>
    </row>
    <row r="604" spans="2:3" ht="18.75" customHeight="1" x14ac:dyDescent="0.4">
      <c r="B604" s="25"/>
      <c r="C604" s="23"/>
    </row>
    <row r="605" spans="2:3" ht="18.75" customHeight="1" x14ac:dyDescent="0.4">
      <c r="B605" s="25"/>
      <c r="C605" s="23"/>
    </row>
    <row r="606" spans="2:3" ht="18.75" customHeight="1" x14ac:dyDescent="0.4">
      <c r="B606" s="25"/>
      <c r="C606" s="23"/>
    </row>
    <row r="607" spans="2:3" ht="18.75" customHeight="1" x14ac:dyDescent="0.4">
      <c r="B607" s="25"/>
      <c r="C607" s="23"/>
    </row>
    <row r="608" spans="2:3" ht="18.75" customHeight="1" x14ac:dyDescent="0.4">
      <c r="B608" s="25"/>
      <c r="C608" s="23"/>
    </row>
    <row r="609" spans="2:3" ht="18.75" customHeight="1" x14ac:dyDescent="0.4">
      <c r="B609" s="25"/>
      <c r="C609" s="23"/>
    </row>
    <row r="610" spans="2:3" ht="18.75" customHeight="1" x14ac:dyDescent="0.4">
      <c r="B610" s="25"/>
      <c r="C610" s="23"/>
    </row>
    <row r="611" spans="2:3" ht="18.75" customHeight="1" x14ac:dyDescent="0.4">
      <c r="B611" s="25"/>
      <c r="C611" s="23"/>
    </row>
    <row r="612" spans="2:3" ht="18.75" customHeight="1" x14ac:dyDescent="0.4">
      <c r="B612" s="25"/>
      <c r="C612" s="23"/>
    </row>
    <row r="613" spans="2:3" ht="18.75" customHeight="1" x14ac:dyDescent="0.4">
      <c r="B613" s="25"/>
      <c r="C613" s="23"/>
    </row>
    <row r="614" spans="2:3" ht="18.75" customHeight="1" x14ac:dyDescent="0.4">
      <c r="B614" s="25"/>
      <c r="C614" s="23"/>
    </row>
    <row r="615" spans="2:3" ht="18.75" customHeight="1" x14ac:dyDescent="0.4">
      <c r="B615" s="25"/>
      <c r="C615" s="23"/>
    </row>
    <row r="616" spans="2:3" ht="18.75" customHeight="1" x14ac:dyDescent="0.4">
      <c r="B616" s="25"/>
      <c r="C616" s="23"/>
    </row>
    <row r="617" spans="2:3" ht="18.75" customHeight="1" x14ac:dyDescent="0.4">
      <c r="B617" s="25"/>
      <c r="C617" s="23"/>
    </row>
    <row r="618" spans="2:3" ht="18.75" customHeight="1" x14ac:dyDescent="0.4">
      <c r="B618" s="25"/>
      <c r="C618" s="23"/>
    </row>
    <row r="619" spans="2:3" ht="18.75" customHeight="1" x14ac:dyDescent="0.4">
      <c r="B619" s="25"/>
      <c r="C619" s="23"/>
    </row>
    <row r="620" spans="2:3" ht="18.75" customHeight="1" x14ac:dyDescent="0.4">
      <c r="B620" s="25"/>
      <c r="C620" s="23"/>
    </row>
    <row r="621" spans="2:3" ht="18.75" customHeight="1" x14ac:dyDescent="0.4">
      <c r="B621" s="25"/>
      <c r="C621" s="23"/>
    </row>
    <row r="622" spans="2:3" ht="18.75" customHeight="1" x14ac:dyDescent="0.4">
      <c r="B622" s="25"/>
      <c r="C622" s="23"/>
    </row>
    <row r="623" spans="2:3" ht="18.75" customHeight="1" x14ac:dyDescent="0.4">
      <c r="B623" s="25"/>
      <c r="C623" s="23"/>
    </row>
    <row r="624" spans="2:3" ht="18.75" customHeight="1" x14ac:dyDescent="0.4">
      <c r="B624" s="25"/>
      <c r="C624" s="23"/>
    </row>
    <row r="625" spans="2:3" ht="18.75" customHeight="1" x14ac:dyDescent="0.4">
      <c r="B625" s="25"/>
      <c r="C625" s="23"/>
    </row>
    <row r="626" spans="2:3" ht="18.75" customHeight="1" x14ac:dyDescent="0.4">
      <c r="B626" s="25"/>
      <c r="C626" s="23"/>
    </row>
    <row r="627" spans="2:3" ht="18.75" customHeight="1" x14ac:dyDescent="0.4">
      <c r="B627" s="25"/>
      <c r="C627" s="23"/>
    </row>
    <row r="628" spans="2:3" ht="18.75" customHeight="1" x14ac:dyDescent="0.4">
      <c r="B628" s="25"/>
      <c r="C628" s="23"/>
    </row>
    <row r="629" spans="2:3" ht="18.75" customHeight="1" x14ac:dyDescent="0.4">
      <c r="B629" s="25"/>
      <c r="C629" s="23"/>
    </row>
    <row r="630" spans="2:3" ht="18.75" customHeight="1" x14ac:dyDescent="0.4">
      <c r="B630" s="25"/>
      <c r="C630" s="23"/>
    </row>
    <row r="631" spans="2:3" ht="18.75" customHeight="1" x14ac:dyDescent="0.4">
      <c r="B631" s="25"/>
      <c r="C631" s="23"/>
    </row>
    <row r="632" spans="2:3" ht="18.75" customHeight="1" x14ac:dyDescent="0.4">
      <c r="B632" s="25"/>
      <c r="C632" s="23"/>
    </row>
    <row r="633" spans="2:3" ht="18.75" customHeight="1" x14ac:dyDescent="0.4">
      <c r="B633" s="25"/>
      <c r="C633" s="23"/>
    </row>
    <row r="634" spans="2:3" ht="18.75" customHeight="1" x14ac:dyDescent="0.4">
      <c r="B634" s="25"/>
      <c r="C634" s="23"/>
    </row>
    <row r="635" spans="2:3" ht="18.75" customHeight="1" x14ac:dyDescent="0.4">
      <c r="B635" s="25"/>
      <c r="C635" s="23"/>
    </row>
    <row r="636" spans="2:3" ht="18.75" customHeight="1" x14ac:dyDescent="0.4">
      <c r="B636" s="25"/>
      <c r="C636" s="23"/>
    </row>
    <row r="637" spans="2:3" ht="18.75" customHeight="1" x14ac:dyDescent="0.4">
      <c r="B637" s="25"/>
      <c r="C637" s="23"/>
    </row>
    <row r="638" spans="2:3" ht="18.75" customHeight="1" x14ac:dyDescent="0.4">
      <c r="B638" s="25"/>
      <c r="C638" s="23"/>
    </row>
    <row r="639" spans="2:3" ht="18.75" customHeight="1" x14ac:dyDescent="0.4">
      <c r="B639" s="25"/>
      <c r="C639" s="23"/>
    </row>
    <row r="640" spans="2:3" ht="18.75" customHeight="1" x14ac:dyDescent="0.4">
      <c r="B640" s="25"/>
      <c r="C640" s="23"/>
    </row>
    <row r="641" spans="2:3" ht="18.75" customHeight="1" x14ac:dyDescent="0.4">
      <c r="B641" s="25"/>
      <c r="C641" s="23"/>
    </row>
    <row r="642" spans="2:3" ht="18.75" customHeight="1" x14ac:dyDescent="0.4">
      <c r="B642" s="25"/>
      <c r="C642" s="23"/>
    </row>
    <row r="643" spans="2:3" ht="18.75" customHeight="1" x14ac:dyDescent="0.4">
      <c r="B643" s="25"/>
      <c r="C643" s="23"/>
    </row>
    <row r="644" spans="2:3" ht="18.75" customHeight="1" x14ac:dyDescent="0.4">
      <c r="B644" s="25"/>
      <c r="C644" s="23"/>
    </row>
    <row r="645" spans="2:3" ht="18.75" customHeight="1" x14ac:dyDescent="0.4">
      <c r="B645" s="25"/>
      <c r="C645" s="23"/>
    </row>
    <row r="646" spans="2:3" ht="18.75" customHeight="1" x14ac:dyDescent="0.4">
      <c r="B646" s="25"/>
      <c r="C646" s="23"/>
    </row>
    <row r="647" spans="2:3" ht="18.75" customHeight="1" x14ac:dyDescent="0.4">
      <c r="B647" s="25"/>
      <c r="C647" s="23"/>
    </row>
    <row r="648" spans="2:3" ht="18.75" customHeight="1" x14ac:dyDescent="0.4">
      <c r="B648" s="25"/>
      <c r="C648" s="23"/>
    </row>
    <row r="649" spans="2:3" ht="18.75" customHeight="1" x14ac:dyDescent="0.4">
      <c r="B649" s="25"/>
      <c r="C649" s="23"/>
    </row>
    <row r="650" spans="2:3" ht="18.75" customHeight="1" x14ac:dyDescent="0.4">
      <c r="B650" s="25"/>
      <c r="C650" s="23"/>
    </row>
    <row r="651" spans="2:3" ht="18.75" customHeight="1" x14ac:dyDescent="0.4">
      <c r="B651" s="25"/>
      <c r="C651" s="23"/>
    </row>
    <row r="652" spans="2:3" ht="18.75" customHeight="1" x14ac:dyDescent="0.4">
      <c r="B652" s="25"/>
      <c r="C652" s="23"/>
    </row>
    <row r="653" spans="2:3" ht="18.75" customHeight="1" x14ac:dyDescent="0.4">
      <c r="B653" s="25"/>
      <c r="C653" s="23"/>
    </row>
    <row r="654" spans="2:3" ht="18.75" customHeight="1" x14ac:dyDescent="0.4">
      <c r="B654" s="25"/>
      <c r="C654" s="23"/>
    </row>
    <row r="655" spans="2:3" ht="18.75" customHeight="1" x14ac:dyDescent="0.4">
      <c r="B655" s="25"/>
      <c r="C655" s="23"/>
    </row>
    <row r="656" spans="2:3" ht="18.75" customHeight="1" x14ac:dyDescent="0.4">
      <c r="B656" s="25"/>
      <c r="C656" s="23"/>
    </row>
    <row r="657" spans="2:3" ht="18.75" customHeight="1" x14ac:dyDescent="0.4">
      <c r="B657" s="25"/>
      <c r="C657" s="23"/>
    </row>
    <row r="658" spans="2:3" ht="18.75" customHeight="1" x14ac:dyDescent="0.4">
      <c r="B658" s="25"/>
      <c r="C658" s="23"/>
    </row>
    <row r="659" spans="2:3" ht="18.75" customHeight="1" x14ac:dyDescent="0.4">
      <c r="B659" s="25"/>
      <c r="C659" s="23"/>
    </row>
    <row r="660" spans="2:3" ht="18.75" customHeight="1" x14ac:dyDescent="0.4">
      <c r="B660" s="25"/>
      <c r="C660" s="23"/>
    </row>
    <row r="661" spans="2:3" ht="18.75" customHeight="1" x14ac:dyDescent="0.4">
      <c r="B661" s="25"/>
      <c r="C661" s="23"/>
    </row>
    <row r="662" spans="2:3" ht="18.75" customHeight="1" x14ac:dyDescent="0.4">
      <c r="B662" s="25"/>
      <c r="C662" s="23"/>
    </row>
    <row r="663" spans="2:3" ht="18.75" customHeight="1" x14ac:dyDescent="0.4">
      <c r="B663" s="25"/>
      <c r="C663" s="23"/>
    </row>
    <row r="664" spans="2:3" ht="18.75" customHeight="1" x14ac:dyDescent="0.4">
      <c r="B664" s="25"/>
      <c r="C664" s="23"/>
    </row>
    <row r="665" spans="2:3" ht="18.75" customHeight="1" x14ac:dyDescent="0.4">
      <c r="B665" s="25"/>
      <c r="C665" s="23"/>
    </row>
    <row r="666" spans="2:3" ht="18.75" customHeight="1" x14ac:dyDescent="0.4">
      <c r="B666" s="25"/>
      <c r="C666" s="23"/>
    </row>
    <row r="667" spans="2:3" ht="18.75" customHeight="1" x14ac:dyDescent="0.4">
      <c r="B667" s="25"/>
      <c r="C667" s="23"/>
    </row>
    <row r="668" spans="2:3" ht="18.75" customHeight="1" x14ac:dyDescent="0.4">
      <c r="B668" s="25"/>
      <c r="C668" s="23"/>
    </row>
    <row r="669" spans="2:3" ht="18.75" customHeight="1" x14ac:dyDescent="0.4">
      <c r="B669" s="25"/>
      <c r="C669" s="23"/>
    </row>
    <row r="670" spans="2:3" ht="18.75" customHeight="1" x14ac:dyDescent="0.4">
      <c r="B670" s="25"/>
      <c r="C670" s="23"/>
    </row>
    <row r="671" spans="2:3" ht="18.75" customHeight="1" x14ac:dyDescent="0.4">
      <c r="B671" s="25"/>
      <c r="C671" s="23"/>
    </row>
    <row r="672" spans="2:3" ht="18.75" customHeight="1" x14ac:dyDescent="0.4">
      <c r="B672" s="25"/>
      <c r="C672" s="23"/>
    </row>
    <row r="673" spans="2:3" ht="18.75" customHeight="1" x14ac:dyDescent="0.4">
      <c r="B673" s="25"/>
      <c r="C673" s="23"/>
    </row>
    <row r="674" spans="2:3" ht="18.75" customHeight="1" x14ac:dyDescent="0.4">
      <c r="B674" s="25"/>
      <c r="C674" s="23"/>
    </row>
    <row r="675" spans="2:3" ht="18.75" customHeight="1" x14ac:dyDescent="0.4">
      <c r="B675" s="25"/>
      <c r="C675" s="23"/>
    </row>
    <row r="676" spans="2:3" ht="18.75" customHeight="1" x14ac:dyDescent="0.4">
      <c r="B676" s="25"/>
      <c r="C676" s="23"/>
    </row>
    <row r="677" spans="2:3" ht="18.75" customHeight="1" x14ac:dyDescent="0.4">
      <c r="B677" s="25"/>
      <c r="C677" s="23"/>
    </row>
    <row r="678" spans="2:3" ht="18.75" customHeight="1" x14ac:dyDescent="0.4">
      <c r="B678" s="25"/>
      <c r="C678" s="23"/>
    </row>
    <row r="679" spans="2:3" ht="18.75" customHeight="1" x14ac:dyDescent="0.4">
      <c r="B679" s="25"/>
      <c r="C679" s="23"/>
    </row>
    <row r="680" spans="2:3" ht="18.75" customHeight="1" x14ac:dyDescent="0.4">
      <c r="B680" s="25"/>
      <c r="C680" s="23"/>
    </row>
    <row r="681" spans="2:3" ht="18.75" customHeight="1" x14ac:dyDescent="0.4">
      <c r="B681" s="25"/>
      <c r="C681" s="23"/>
    </row>
    <row r="682" spans="2:3" ht="18.75" customHeight="1" x14ac:dyDescent="0.4">
      <c r="B682" s="25"/>
      <c r="C682" s="23"/>
    </row>
    <row r="683" spans="2:3" ht="18.75" customHeight="1" x14ac:dyDescent="0.4">
      <c r="B683" s="25"/>
      <c r="C683" s="23"/>
    </row>
    <row r="684" spans="2:3" ht="18.75" customHeight="1" x14ac:dyDescent="0.4">
      <c r="B684" s="25"/>
      <c r="C684" s="23"/>
    </row>
    <row r="685" spans="2:3" ht="18.75" customHeight="1" x14ac:dyDescent="0.4">
      <c r="B685" s="25"/>
      <c r="C685" s="23"/>
    </row>
    <row r="686" spans="2:3" ht="18.75" customHeight="1" x14ac:dyDescent="0.4">
      <c r="B686" s="25"/>
      <c r="C686" s="23"/>
    </row>
    <row r="687" spans="2:3" ht="18.75" customHeight="1" x14ac:dyDescent="0.4">
      <c r="B687" s="25"/>
      <c r="C687" s="23"/>
    </row>
    <row r="688" spans="2:3" ht="18.75" customHeight="1" x14ac:dyDescent="0.4">
      <c r="B688" s="25"/>
      <c r="C688" s="23"/>
    </row>
    <row r="689" spans="2:3" ht="18.75" customHeight="1" x14ac:dyDescent="0.4">
      <c r="B689" s="25"/>
      <c r="C689" s="23"/>
    </row>
    <row r="690" spans="2:3" ht="18.75" customHeight="1" x14ac:dyDescent="0.4">
      <c r="B690" s="25"/>
      <c r="C690" s="23"/>
    </row>
    <row r="691" spans="2:3" ht="18.75" customHeight="1" x14ac:dyDescent="0.4">
      <c r="B691" s="25"/>
      <c r="C691" s="23"/>
    </row>
    <row r="692" spans="2:3" ht="18.75" customHeight="1" x14ac:dyDescent="0.4">
      <c r="B692" s="25"/>
      <c r="C692" s="23"/>
    </row>
    <row r="693" spans="2:3" ht="18.75" customHeight="1" x14ac:dyDescent="0.4">
      <c r="B693" s="25"/>
      <c r="C693" s="23"/>
    </row>
    <row r="694" spans="2:3" ht="18.75" customHeight="1" x14ac:dyDescent="0.4">
      <c r="B694" s="25"/>
      <c r="C694" s="23"/>
    </row>
    <row r="695" spans="2:3" ht="18.75" customHeight="1" x14ac:dyDescent="0.4">
      <c r="B695" s="25"/>
      <c r="C695" s="23"/>
    </row>
    <row r="696" spans="2:3" ht="18.75" customHeight="1" x14ac:dyDescent="0.4">
      <c r="B696" s="25"/>
      <c r="C696" s="23"/>
    </row>
    <row r="697" spans="2:3" ht="18.75" customHeight="1" x14ac:dyDescent="0.4">
      <c r="B697" s="25"/>
      <c r="C697" s="23"/>
    </row>
    <row r="698" spans="2:3" ht="18.75" customHeight="1" x14ac:dyDescent="0.4">
      <c r="B698" s="25"/>
      <c r="C698" s="23"/>
    </row>
    <row r="699" spans="2:3" ht="18.75" customHeight="1" x14ac:dyDescent="0.4">
      <c r="B699" s="25"/>
      <c r="C699" s="23"/>
    </row>
    <row r="700" spans="2:3" ht="18.75" customHeight="1" x14ac:dyDescent="0.4">
      <c r="B700" s="25"/>
      <c r="C700" s="23"/>
    </row>
    <row r="701" spans="2:3" ht="18.75" customHeight="1" x14ac:dyDescent="0.4">
      <c r="B701" s="25"/>
      <c r="C701" s="23"/>
    </row>
    <row r="702" spans="2:3" ht="18.75" customHeight="1" x14ac:dyDescent="0.4">
      <c r="B702" s="25"/>
      <c r="C702" s="23"/>
    </row>
    <row r="703" spans="2:3" ht="18.75" customHeight="1" x14ac:dyDescent="0.4">
      <c r="B703" s="25"/>
      <c r="C703" s="23"/>
    </row>
    <row r="704" spans="2:3" ht="18.75" customHeight="1" x14ac:dyDescent="0.4">
      <c r="B704" s="25"/>
      <c r="C704" s="23"/>
    </row>
    <row r="705" spans="2:3" ht="18.75" customHeight="1" x14ac:dyDescent="0.4">
      <c r="B705" s="25"/>
      <c r="C705" s="23"/>
    </row>
    <row r="706" spans="2:3" ht="18.75" customHeight="1" x14ac:dyDescent="0.4">
      <c r="B706" s="25"/>
      <c r="C706" s="23"/>
    </row>
    <row r="707" spans="2:3" ht="18.75" customHeight="1" x14ac:dyDescent="0.4">
      <c r="B707" s="25"/>
      <c r="C707" s="23"/>
    </row>
    <row r="708" spans="2:3" ht="18.75" customHeight="1" x14ac:dyDescent="0.4">
      <c r="B708" s="25"/>
      <c r="C708" s="23"/>
    </row>
    <row r="709" spans="2:3" ht="18.75" customHeight="1" x14ac:dyDescent="0.4">
      <c r="B709" s="25"/>
      <c r="C709" s="23"/>
    </row>
    <row r="710" spans="2:3" ht="18.75" customHeight="1" x14ac:dyDescent="0.4">
      <c r="B710" s="25"/>
      <c r="C710" s="23"/>
    </row>
    <row r="711" spans="2:3" ht="18.75" customHeight="1" x14ac:dyDescent="0.4">
      <c r="B711" s="25"/>
      <c r="C711" s="23"/>
    </row>
    <row r="712" spans="2:3" ht="18.75" customHeight="1" x14ac:dyDescent="0.4">
      <c r="B712" s="25"/>
      <c r="C712" s="23"/>
    </row>
    <row r="713" spans="2:3" ht="18.75" customHeight="1" x14ac:dyDescent="0.4">
      <c r="B713" s="25"/>
      <c r="C713" s="23"/>
    </row>
    <row r="714" spans="2:3" ht="18.75" customHeight="1" x14ac:dyDescent="0.4">
      <c r="B714" s="25"/>
      <c r="C714" s="23"/>
    </row>
    <row r="715" spans="2:3" ht="18.75" customHeight="1" x14ac:dyDescent="0.4">
      <c r="B715" s="25"/>
      <c r="C715" s="23"/>
    </row>
    <row r="716" spans="2:3" ht="18.75" customHeight="1" x14ac:dyDescent="0.4">
      <c r="B716" s="25"/>
      <c r="C716" s="23"/>
    </row>
    <row r="717" spans="2:3" ht="18.75" customHeight="1" x14ac:dyDescent="0.4">
      <c r="B717" s="25"/>
      <c r="C717" s="23"/>
    </row>
    <row r="718" spans="2:3" ht="18.75" customHeight="1" x14ac:dyDescent="0.4">
      <c r="B718" s="25"/>
      <c r="C718" s="23"/>
    </row>
    <row r="719" spans="2:3" ht="18.75" customHeight="1" x14ac:dyDescent="0.4">
      <c r="B719" s="25"/>
      <c r="C719" s="23"/>
    </row>
    <row r="720" spans="2:3" ht="18.75" customHeight="1" x14ac:dyDescent="0.4">
      <c r="B720" s="25"/>
      <c r="C720" s="23"/>
    </row>
    <row r="721" spans="2:3" ht="18.75" customHeight="1" x14ac:dyDescent="0.4">
      <c r="B721" s="25"/>
      <c r="C721" s="23"/>
    </row>
    <row r="722" spans="2:3" ht="18.75" customHeight="1" x14ac:dyDescent="0.4">
      <c r="B722" s="25"/>
      <c r="C722" s="23"/>
    </row>
    <row r="723" spans="2:3" ht="18.75" customHeight="1" x14ac:dyDescent="0.4">
      <c r="B723" s="25"/>
      <c r="C723" s="23"/>
    </row>
    <row r="724" spans="2:3" ht="18.75" customHeight="1" x14ac:dyDescent="0.4">
      <c r="B724" s="25"/>
      <c r="C724" s="23"/>
    </row>
    <row r="725" spans="2:3" ht="18.75" customHeight="1" x14ac:dyDescent="0.4">
      <c r="B725" s="25"/>
      <c r="C725" s="23"/>
    </row>
    <row r="726" spans="2:3" ht="18.75" customHeight="1" x14ac:dyDescent="0.4">
      <c r="B726" s="25"/>
      <c r="C726" s="23"/>
    </row>
    <row r="727" spans="2:3" ht="18.75" customHeight="1" x14ac:dyDescent="0.4">
      <c r="B727" s="25"/>
      <c r="C727" s="23"/>
    </row>
    <row r="728" spans="2:3" ht="18.75" customHeight="1" x14ac:dyDescent="0.4">
      <c r="B728" s="25"/>
      <c r="C728" s="23"/>
    </row>
    <row r="729" spans="2:3" ht="18.75" customHeight="1" x14ac:dyDescent="0.4">
      <c r="B729" s="25"/>
      <c r="C729" s="23"/>
    </row>
    <row r="730" spans="2:3" ht="18.75" customHeight="1" x14ac:dyDescent="0.4">
      <c r="B730" s="25"/>
      <c r="C730" s="23"/>
    </row>
    <row r="731" spans="2:3" ht="18.75" customHeight="1" x14ac:dyDescent="0.4">
      <c r="B731" s="25"/>
      <c r="C731" s="23"/>
    </row>
    <row r="732" spans="2:3" ht="18.75" customHeight="1" x14ac:dyDescent="0.4">
      <c r="B732" s="25"/>
      <c r="C732" s="23"/>
    </row>
    <row r="733" spans="2:3" ht="18.75" customHeight="1" x14ac:dyDescent="0.4">
      <c r="B733" s="25"/>
      <c r="C733" s="23"/>
    </row>
    <row r="734" spans="2:3" ht="18.75" customHeight="1" x14ac:dyDescent="0.4">
      <c r="B734" s="25"/>
      <c r="C734" s="23"/>
    </row>
    <row r="735" spans="2:3" ht="18.75" customHeight="1" x14ac:dyDescent="0.4">
      <c r="B735" s="25"/>
      <c r="C735" s="23"/>
    </row>
    <row r="736" spans="2:3" ht="18.75" customHeight="1" x14ac:dyDescent="0.4">
      <c r="B736" s="25"/>
      <c r="C736" s="23"/>
    </row>
    <row r="737" spans="2:3" ht="18.75" customHeight="1" x14ac:dyDescent="0.4">
      <c r="B737" s="25"/>
      <c r="C737" s="23"/>
    </row>
    <row r="738" spans="2:3" ht="18.75" customHeight="1" x14ac:dyDescent="0.4">
      <c r="B738" s="25"/>
      <c r="C738" s="23"/>
    </row>
    <row r="739" spans="2:3" ht="18.75" customHeight="1" x14ac:dyDescent="0.4">
      <c r="B739" s="25"/>
      <c r="C739" s="23"/>
    </row>
    <row r="740" spans="2:3" ht="18.75" customHeight="1" x14ac:dyDescent="0.4">
      <c r="B740" s="25"/>
      <c r="C740" s="23"/>
    </row>
    <row r="741" spans="2:3" ht="18.75" customHeight="1" x14ac:dyDescent="0.4">
      <c r="B741" s="25"/>
      <c r="C741" s="23"/>
    </row>
    <row r="742" spans="2:3" ht="18.75" customHeight="1" x14ac:dyDescent="0.4">
      <c r="B742" s="25"/>
      <c r="C742" s="23"/>
    </row>
    <row r="743" spans="2:3" ht="18.75" customHeight="1" x14ac:dyDescent="0.4">
      <c r="B743" s="25"/>
      <c r="C743" s="23"/>
    </row>
    <row r="744" spans="2:3" ht="18.75" customHeight="1" x14ac:dyDescent="0.4">
      <c r="B744" s="25"/>
      <c r="C744" s="23"/>
    </row>
    <row r="745" spans="2:3" ht="18.75" customHeight="1" x14ac:dyDescent="0.4">
      <c r="B745" s="25"/>
      <c r="C745" s="23"/>
    </row>
    <row r="746" spans="2:3" ht="18.75" customHeight="1" x14ac:dyDescent="0.4">
      <c r="B746" s="25"/>
      <c r="C746" s="23"/>
    </row>
    <row r="747" spans="2:3" ht="18.75" customHeight="1" x14ac:dyDescent="0.4">
      <c r="B747" s="25"/>
      <c r="C747" s="23"/>
    </row>
    <row r="748" spans="2:3" ht="18.75" customHeight="1" x14ac:dyDescent="0.4">
      <c r="B748" s="25"/>
      <c r="C748" s="23"/>
    </row>
    <row r="749" spans="2:3" ht="18.75" customHeight="1" x14ac:dyDescent="0.4">
      <c r="B749" s="25"/>
      <c r="C749" s="23"/>
    </row>
    <row r="750" spans="2:3" ht="18.75" customHeight="1" x14ac:dyDescent="0.4">
      <c r="B750" s="25"/>
      <c r="C750" s="23"/>
    </row>
    <row r="751" spans="2:3" ht="18.75" customHeight="1" x14ac:dyDescent="0.4">
      <c r="B751" s="25"/>
      <c r="C751" s="23"/>
    </row>
    <row r="752" spans="2:3" ht="18.75" customHeight="1" x14ac:dyDescent="0.4">
      <c r="B752" s="25"/>
      <c r="C752" s="23"/>
    </row>
    <row r="753" spans="2:3" ht="18.75" customHeight="1" x14ac:dyDescent="0.4">
      <c r="B753" s="25"/>
      <c r="C753" s="23"/>
    </row>
    <row r="754" spans="2:3" ht="18.75" customHeight="1" x14ac:dyDescent="0.4">
      <c r="B754" s="25"/>
      <c r="C754" s="23"/>
    </row>
    <row r="755" spans="2:3" ht="18.75" customHeight="1" x14ac:dyDescent="0.4">
      <c r="B755" s="25"/>
      <c r="C755" s="23"/>
    </row>
    <row r="756" spans="2:3" ht="18.75" customHeight="1" x14ac:dyDescent="0.4">
      <c r="B756" s="25"/>
      <c r="C756" s="23"/>
    </row>
    <row r="757" spans="2:3" ht="18.75" customHeight="1" x14ac:dyDescent="0.4">
      <c r="B757" s="25"/>
      <c r="C757" s="23"/>
    </row>
    <row r="758" spans="2:3" ht="18.75" customHeight="1" x14ac:dyDescent="0.4">
      <c r="B758" s="25"/>
      <c r="C758" s="23"/>
    </row>
    <row r="759" spans="2:3" ht="18.75" customHeight="1" x14ac:dyDescent="0.4">
      <c r="B759" s="25"/>
      <c r="C759" s="23"/>
    </row>
    <row r="760" spans="2:3" ht="18.75" customHeight="1" x14ac:dyDescent="0.4">
      <c r="B760" s="25"/>
      <c r="C760" s="23"/>
    </row>
    <row r="761" spans="2:3" ht="18.75" customHeight="1" x14ac:dyDescent="0.4">
      <c r="B761" s="25"/>
      <c r="C761" s="23"/>
    </row>
    <row r="762" spans="2:3" ht="18.75" customHeight="1" x14ac:dyDescent="0.4">
      <c r="B762" s="25"/>
      <c r="C762" s="23"/>
    </row>
    <row r="763" spans="2:3" ht="18.75" customHeight="1" x14ac:dyDescent="0.4">
      <c r="B763" s="25"/>
      <c r="C763" s="23"/>
    </row>
    <row r="764" spans="2:3" ht="18.75" customHeight="1" x14ac:dyDescent="0.4">
      <c r="B764" s="25"/>
      <c r="C764" s="23"/>
    </row>
    <row r="765" spans="2:3" ht="18.75" customHeight="1" x14ac:dyDescent="0.4">
      <c r="B765" s="25"/>
      <c r="C765" s="23"/>
    </row>
    <row r="766" spans="2:3" ht="18.75" customHeight="1" x14ac:dyDescent="0.4">
      <c r="B766" s="25"/>
      <c r="C766" s="23"/>
    </row>
    <row r="767" spans="2:3" ht="18.75" customHeight="1" x14ac:dyDescent="0.4">
      <c r="B767" s="25"/>
      <c r="C767" s="23"/>
    </row>
    <row r="768" spans="2:3" ht="18.75" customHeight="1" x14ac:dyDescent="0.4">
      <c r="B768" s="25"/>
      <c r="C768" s="23"/>
    </row>
    <row r="769" spans="2:3" ht="18.75" customHeight="1" x14ac:dyDescent="0.4">
      <c r="B769" s="25"/>
      <c r="C769" s="23"/>
    </row>
    <row r="770" spans="2:3" ht="18.75" customHeight="1" x14ac:dyDescent="0.4">
      <c r="B770" s="25"/>
      <c r="C770" s="23"/>
    </row>
    <row r="771" spans="2:3" ht="18.75" customHeight="1" x14ac:dyDescent="0.4">
      <c r="B771" s="25"/>
      <c r="C771" s="23"/>
    </row>
    <row r="772" spans="2:3" ht="18.75" customHeight="1" x14ac:dyDescent="0.4">
      <c r="B772" s="25"/>
      <c r="C772" s="23"/>
    </row>
    <row r="773" spans="2:3" ht="18.75" customHeight="1" x14ac:dyDescent="0.4">
      <c r="B773" s="25"/>
      <c r="C773" s="23"/>
    </row>
    <row r="774" spans="2:3" ht="18.75" customHeight="1" x14ac:dyDescent="0.4">
      <c r="B774" s="25"/>
      <c r="C774" s="23"/>
    </row>
    <row r="775" spans="2:3" ht="18.75" customHeight="1" x14ac:dyDescent="0.4">
      <c r="B775" s="25"/>
      <c r="C775" s="23"/>
    </row>
    <row r="776" spans="2:3" ht="18.75" customHeight="1" x14ac:dyDescent="0.4">
      <c r="B776" s="25"/>
      <c r="C776" s="23"/>
    </row>
    <row r="777" spans="2:3" ht="18.75" customHeight="1" x14ac:dyDescent="0.4">
      <c r="B777" s="25"/>
      <c r="C777" s="23"/>
    </row>
    <row r="778" spans="2:3" ht="18.75" customHeight="1" x14ac:dyDescent="0.4">
      <c r="B778" s="25"/>
      <c r="C778" s="23"/>
    </row>
    <row r="779" spans="2:3" ht="18.75" customHeight="1" x14ac:dyDescent="0.4">
      <c r="B779" s="25"/>
      <c r="C779" s="23"/>
    </row>
    <row r="780" spans="2:3" ht="18.75" customHeight="1" x14ac:dyDescent="0.4">
      <c r="B780" s="25"/>
      <c r="C780" s="23"/>
    </row>
    <row r="781" spans="2:3" ht="18.75" customHeight="1" x14ac:dyDescent="0.4">
      <c r="B781" s="25"/>
      <c r="C781" s="23"/>
    </row>
    <row r="782" spans="2:3" ht="18.75" customHeight="1" x14ac:dyDescent="0.4">
      <c r="B782" s="25"/>
      <c r="C782" s="23"/>
    </row>
    <row r="783" spans="2:3" ht="18.75" customHeight="1" x14ac:dyDescent="0.4">
      <c r="B783" s="25"/>
      <c r="C783" s="23"/>
    </row>
    <row r="784" spans="2:3" ht="18.75" customHeight="1" x14ac:dyDescent="0.4">
      <c r="B784" s="25"/>
      <c r="C784" s="23"/>
    </row>
    <row r="785" spans="2:3" ht="18.75" customHeight="1" x14ac:dyDescent="0.4">
      <c r="B785" s="25"/>
      <c r="C785" s="23"/>
    </row>
    <row r="786" spans="2:3" ht="18.75" customHeight="1" x14ac:dyDescent="0.4">
      <c r="B786" s="25"/>
      <c r="C786" s="23"/>
    </row>
    <row r="787" spans="2:3" ht="18.75" customHeight="1" x14ac:dyDescent="0.4">
      <c r="B787" s="25"/>
      <c r="C787" s="23"/>
    </row>
    <row r="788" spans="2:3" ht="18.75" customHeight="1" x14ac:dyDescent="0.4">
      <c r="B788" s="25"/>
      <c r="C788" s="23"/>
    </row>
    <row r="789" spans="2:3" ht="18.75" customHeight="1" x14ac:dyDescent="0.4">
      <c r="B789" s="25"/>
      <c r="C789" s="23"/>
    </row>
    <row r="790" spans="2:3" ht="18.75" customHeight="1" x14ac:dyDescent="0.4">
      <c r="B790" s="25"/>
      <c r="C790" s="23"/>
    </row>
    <row r="791" spans="2:3" ht="18.75" customHeight="1" x14ac:dyDescent="0.4">
      <c r="B791" s="25"/>
      <c r="C791" s="23"/>
    </row>
    <row r="792" spans="2:3" ht="18.75" customHeight="1" x14ac:dyDescent="0.4">
      <c r="B792" s="25"/>
      <c r="C792" s="23"/>
    </row>
    <row r="793" spans="2:3" ht="18.75" customHeight="1" x14ac:dyDescent="0.4">
      <c r="B793" s="25"/>
      <c r="C793" s="23"/>
    </row>
    <row r="794" spans="2:3" ht="18.75" customHeight="1" x14ac:dyDescent="0.4">
      <c r="B794" s="25"/>
      <c r="C794" s="23"/>
    </row>
    <row r="795" spans="2:3" ht="18.75" customHeight="1" x14ac:dyDescent="0.4">
      <c r="B795" s="25"/>
      <c r="C795" s="23"/>
    </row>
    <row r="796" spans="2:3" ht="18.75" customHeight="1" x14ac:dyDescent="0.4">
      <c r="B796" s="25"/>
      <c r="C796" s="23"/>
    </row>
    <row r="797" spans="2:3" ht="18.75" customHeight="1" x14ac:dyDescent="0.4">
      <c r="B797" s="25"/>
      <c r="C797" s="23"/>
    </row>
    <row r="798" spans="2:3" ht="18.75" customHeight="1" x14ac:dyDescent="0.4">
      <c r="B798" s="25"/>
      <c r="C798" s="23"/>
    </row>
    <row r="799" spans="2:3" ht="18.75" customHeight="1" x14ac:dyDescent="0.4">
      <c r="B799" s="25"/>
      <c r="C799" s="23"/>
    </row>
    <row r="800" spans="2:3" ht="18.75" customHeight="1" x14ac:dyDescent="0.4">
      <c r="B800" s="25"/>
      <c r="C800" s="23"/>
    </row>
    <row r="801" spans="2:3" ht="18.75" customHeight="1" x14ac:dyDescent="0.4">
      <c r="B801" s="25"/>
      <c r="C801" s="23"/>
    </row>
    <row r="802" spans="2:3" ht="18.75" customHeight="1" x14ac:dyDescent="0.4">
      <c r="B802" s="25"/>
      <c r="C802" s="23"/>
    </row>
    <row r="803" spans="2:3" ht="18.75" customHeight="1" x14ac:dyDescent="0.4">
      <c r="B803" s="25"/>
      <c r="C803" s="23"/>
    </row>
    <row r="804" spans="2:3" ht="18.75" customHeight="1" x14ac:dyDescent="0.4">
      <c r="B804" s="25"/>
      <c r="C804" s="23"/>
    </row>
    <row r="805" spans="2:3" ht="18.75" customHeight="1" x14ac:dyDescent="0.4">
      <c r="B805" s="25"/>
      <c r="C805" s="23"/>
    </row>
    <row r="806" spans="2:3" ht="18.75" customHeight="1" x14ac:dyDescent="0.4">
      <c r="B806" s="25"/>
      <c r="C806" s="23"/>
    </row>
    <row r="807" spans="2:3" ht="18.75" customHeight="1" x14ac:dyDescent="0.4">
      <c r="B807" s="25"/>
      <c r="C807" s="23"/>
    </row>
    <row r="808" spans="2:3" ht="18.75" customHeight="1" x14ac:dyDescent="0.4">
      <c r="B808" s="25"/>
      <c r="C808" s="23"/>
    </row>
    <row r="809" spans="2:3" ht="18.75" customHeight="1" x14ac:dyDescent="0.4">
      <c r="B809" s="25"/>
      <c r="C809" s="23"/>
    </row>
    <row r="810" spans="2:3" ht="18.75" customHeight="1" x14ac:dyDescent="0.4">
      <c r="B810" s="25"/>
      <c r="C810" s="23"/>
    </row>
    <row r="811" spans="2:3" ht="18.75" customHeight="1" x14ac:dyDescent="0.4">
      <c r="B811" s="25"/>
      <c r="C811" s="23"/>
    </row>
    <row r="812" spans="2:3" ht="18.75" customHeight="1" x14ac:dyDescent="0.4">
      <c r="B812" s="25"/>
      <c r="C812" s="23"/>
    </row>
    <row r="813" spans="2:3" ht="18.75" customHeight="1" x14ac:dyDescent="0.4">
      <c r="B813" s="25"/>
      <c r="C813" s="23"/>
    </row>
    <row r="814" spans="2:3" ht="18.75" customHeight="1" x14ac:dyDescent="0.4">
      <c r="B814" s="25"/>
      <c r="C814" s="23"/>
    </row>
    <row r="815" spans="2:3" ht="18.75" customHeight="1" x14ac:dyDescent="0.4">
      <c r="B815" s="25"/>
      <c r="C815" s="23"/>
    </row>
    <row r="816" spans="2:3" ht="18.75" customHeight="1" x14ac:dyDescent="0.4">
      <c r="B816" s="25"/>
      <c r="C816" s="23"/>
    </row>
    <row r="817" spans="2:3" ht="18.75" customHeight="1" x14ac:dyDescent="0.4">
      <c r="B817" s="25"/>
      <c r="C817" s="23"/>
    </row>
    <row r="818" spans="2:3" ht="18.75" customHeight="1" x14ac:dyDescent="0.4">
      <c r="B818" s="25"/>
      <c r="C818" s="23"/>
    </row>
    <row r="819" spans="2:3" ht="18.75" customHeight="1" x14ac:dyDescent="0.4">
      <c r="B819" s="25"/>
      <c r="C819" s="23"/>
    </row>
    <row r="820" spans="2:3" ht="18.75" customHeight="1" x14ac:dyDescent="0.4">
      <c r="B820" s="25"/>
      <c r="C820" s="23"/>
    </row>
    <row r="821" spans="2:3" ht="18.75" customHeight="1" x14ac:dyDescent="0.4">
      <c r="B821" s="25"/>
      <c r="C821" s="23"/>
    </row>
    <row r="822" spans="2:3" ht="18.75" customHeight="1" x14ac:dyDescent="0.4">
      <c r="B822" s="25"/>
      <c r="C822" s="23"/>
    </row>
    <row r="823" spans="2:3" ht="18.75" customHeight="1" x14ac:dyDescent="0.4">
      <c r="B823" s="25"/>
      <c r="C823" s="23"/>
    </row>
    <row r="824" spans="2:3" ht="18.75" customHeight="1" x14ac:dyDescent="0.4">
      <c r="B824" s="25"/>
      <c r="C824" s="23"/>
    </row>
    <row r="825" spans="2:3" ht="18.75" customHeight="1" x14ac:dyDescent="0.4">
      <c r="B825" s="25"/>
      <c r="C825" s="23"/>
    </row>
    <row r="826" spans="2:3" ht="18.75" customHeight="1" x14ac:dyDescent="0.4">
      <c r="B826" s="25"/>
      <c r="C826" s="23"/>
    </row>
    <row r="827" spans="2:3" ht="18.75" customHeight="1" x14ac:dyDescent="0.4">
      <c r="B827" s="25"/>
      <c r="C827" s="23"/>
    </row>
    <row r="828" spans="2:3" ht="18.75" customHeight="1" x14ac:dyDescent="0.4">
      <c r="B828" s="25"/>
      <c r="C828" s="23"/>
    </row>
    <row r="829" spans="2:3" ht="18.75" customHeight="1" x14ac:dyDescent="0.4">
      <c r="B829" s="25"/>
      <c r="C829" s="23"/>
    </row>
    <row r="830" spans="2:3" ht="18.75" customHeight="1" x14ac:dyDescent="0.4">
      <c r="B830" s="25"/>
      <c r="C830" s="23"/>
    </row>
    <row r="831" spans="2:3" ht="18.75" customHeight="1" x14ac:dyDescent="0.4">
      <c r="B831" s="25"/>
      <c r="C831" s="23"/>
    </row>
    <row r="832" spans="2:3" ht="18.75" customHeight="1" x14ac:dyDescent="0.4">
      <c r="B832" s="25"/>
      <c r="C832" s="23"/>
    </row>
    <row r="833" spans="2:3" ht="18.75" customHeight="1" x14ac:dyDescent="0.4">
      <c r="B833" s="25"/>
      <c r="C833" s="23"/>
    </row>
    <row r="834" spans="2:3" ht="18.75" customHeight="1" x14ac:dyDescent="0.4">
      <c r="B834" s="25"/>
      <c r="C834" s="23"/>
    </row>
    <row r="835" spans="2:3" ht="18.75" customHeight="1" x14ac:dyDescent="0.4">
      <c r="B835" s="25"/>
      <c r="C835" s="23"/>
    </row>
    <row r="836" spans="2:3" ht="18.75" customHeight="1" x14ac:dyDescent="0.4">
      <c r="B836" s="25"/>
      <c r="C836" s="23"/>
    </row>
    <row r="837" spans="2:3" ht="18.75" customHeight="1" x14ac:dyDescent="0.4">
      <c r="B837" s="25"/>
      <c r="C837" s="23"/>
    </row>
    <row r="838" spans="2:3" ht="18.75" customHeight="1" x14ac:dyDescent="0.4">
      <c r="B838" s="25"/>
      <c r="C838" s="23"/>
    </row>
    <row r="839" spans="2:3" ht="18.75" customHeight="1" x14ac:dyDescent="0.4">
      <c r="B839" s="25"/>
      <c r="C839" s="23"/>
    </row>
    <row r="840" spans="2:3" ht="18.75" customHeight="1" x14ac:dyDescent="0.4">
      <c r="B840" s="25"/>
      <c r="C840" s="23"/>
    </row>
    <row r="841" spans="2:3" ht="18.75" customHeight="1" x14ac:dyDescent="0.4">
      <c r="B841" s="25"/>
      <c r="C841" s="23"/>
    </row>
    <row r="842" spans="2:3" ht="18.75" customHeight="1" x14ac:dyDescent="0.4">
      <c r="B842" s="25"/>
      <c r="C842" s="23"/>
    </row>
    <row r="843" spans="2:3" ht="18.75" customHeight="1" x14ac:dyDescent="0.4">
      <c r="B843" s="25"/>
      <c r="C843" s="23"/>
    </row>
    <row r="844" spans="2:3" ht="18.75" customHeight="1" x14ac:dyDescent="0.4">
      <c r="B844" s="25"/>
      <c r="C844" s="23"/>
    </row>
    <row r="845" spans="2:3" ht="18.75" customHeight="1" x14ac:dyDescent="0.4">
      <c r="B845" s="25"/>
      <c r="C845" s="23"/>
    </row>
    <row r="846" spans="2:3" ht="18.75" customHeight="1" x14ac:dyDescent="0.4">
      <c r="B846" s="25"/>
      <c r="C846" s="23"/>
    </row>
    <row r="847" spans="2:3" ht="18.75" customHeight="1" x14ac:dyDescent="0.4">
      <c r="B847" s="25"/>
      <c r="C847" s="23"/>
    </row>
    <row r="848" spans="2:3" ht="18.75" customHeight="1" x14ac:dyDescent="0.4">
      <c r="B848" s="25"/>
      <c r="C848" s="23"/>
    </row>
    <row r="849" spans="2:3" ht="18.75" customHeight="1" x14ac:dyDescent="0.4">
      <c r="B849" s="25"/>
      <c r="C849" s="23"/>
    </row>
    <row r="850" spans="2:3" ht="18.75" customHeight="1" x14ac:dyDescent="0.4">
      <c r="B850" s="25"/>
      <c r="C850" s="23"/>
    </row>
    <row r="851" spans="2:3" ht="18.75" customHeight="1" x14ac:dyDescent="0.4">
      <c r="B851" s="25"/>
      <c r="C851" s="23"/>
    </row>
    <row r="852" spans="2:3" ht="18.75" customHeight="1" x14ac:dyDescent="0.4">
      <c r="B852" s="25"/>
      <c r="C852" s="23"/>
    </row>
    <row r="853" spans="2:3" ht="18.75" customHeight="1" x14ac:dyDescent="0.4">
      <c r="B853" s="25"/>
      <c r="C853" s="23"/>
    </row>
    <row r="854" spans="2:3" ht="18.75" customHeight="1" x14ac:dyDescent="0.4">
      <c r="B854" s="25"/>
      <c r="C854" s="23"/>
    </row>
    <row r="855" spans="2:3" ht="18.75" customHeight="1" x14ac:dyDescent="0.4">
      <c r="B855" s="25"/>
      <c r="C855" s="23"/>
    </row>
    <row r="856" spans="2:3" ht="18.75" customHeight="1" x14ac:dyDescent="0.4">
      <c r="B856" s="25"/>
      <c r="C856" s="23"/>
    </row>
    <row r="857" spans="2:3" ht="18.75" customHeight="1" x14ac:dyDescent="0.4">
      <c r="B857" s="25"/>
      <c r="C857" s="23"/>
    </row>
    <row r="858" spans="2:3" ht="18.75" customHeight="1" x14ac:dyDescent="0.4">
      <c r="B858" s="25"/>
      <c r="C858" s="23"/>
    </row>
    <row r="859" spans="2:3" ht="18.75" customHeight="1" x14ac:dyDescent="0.4">
      <c r="B859" s="25"/>
      <c r="C859" s="23"/>
    </row>
    <row r="860" spans="2:3" ht="18.75" customHeight="1" x14ac:dyDescent="0.4">
      <c r="B860" s="25"/>
      <c r="C860" s="23"/>
    </row>
    <row r="861" spans="2:3" ht="18.75" customHeight="1" x14ac:dyDescent="0.4">
      <c r="B861" s="25"/>
      <c r="C861" s="23"/>
    </row>
    <row r="862" spans="2:3" ht="18.75" customHeight="1" x14ac:dyDescent="0.4">
      <c r="B862" s="25"/>
      <c r="C862" s="23"/>
    </row>
    <row r="863" spans="2:3" ht="18.75" customHeight="1" x14ac:dyDescent="0.4">
      <c r="B863" s="25"/>
      <c r="C863" s="23"/>
    </row>
    <row r="864" spans="2:3" ht="18.75" customHeight="1" x14ac:dyDescent="0.4">
      <c r="B864" s="25"/>
      <c r="C864" s="23"/>
    </row>
    <row r="865" spans="2:3" ht="18.75" customHeight="1" x14ac:dyDescent="0.4">
      <c r="B865" s="25"/>
      <c r="C865" s="23"/>
    </row>
    <row r="866" spans="2:3" ht="18.75" customHeight="1" x14ac:dyDescent="0.4">
      <c r="B866" s="25"/>
      <c r="C866" s="23"/>
    </row>
    <row r="867" spans="2:3" ht="18.75" customHeight="1" x14ac:dyDescent="0.4">
      <c r="B867" s="25"/>
      <c r="C867" s="23"/>
    </row>
    <row r="868" spans="2:3" ht="18.75" customHeight="1" x14ac:dyDescent="0.4">
      <c r="B868" s="25"/>
      <c r="C868" s="23"/>
    </row>
    <row r="869" spans="2:3" ht="18.75" customHeight="1" x14ac:dyDescent="0.4">
      <c r="B869" s="25"/>
      <c r="C869" s="23"/>
    </row>
    <row r="870" spans="2:3" ht="18.75" customHeight="1" x14ac:dyDescent="0.4">
      <c r="B870" s="25"/>
      <c r="C870" s="23"/>
    </row>
    <row r="871" spans="2:3" ht="18.75" customHeight="1" x14ac:dyDescent="0.4">
      <c r="B871" s="25"/>
      <c r="C871" s="23"/>
    </row>
    <row r="872" spans="2:3" ht="18.75" customHeight="1" x14ac:dyDescent="0.4">
      <c r="B872" s="25"/>
      <c r="C872" s="23"/>
    </row>
    <row r="873" spans="2:3" ht="18.75" customHeight="1" x14ac:dyDescent="0.4">
      <c r="B873" s="25"/>
      <c r="C873" s="23"/>
    </row>
    <row r="874" spans="2:3" ht="18.75" customHeight="1" x14ac:dyDescent="0.4">
      <c r="B874" s="25"/>
      <c r="C874" s="23"/>
    </row>
    <row r="875" spans="2:3" ht="18.75" customHeight="1" x14ac:dyDescent="0.4">
      <c r="B875" s="25"/>
      <c r="C875" s="23"/>
    </row>
    <row r="876" spans="2:3" ht="18.75" customHeight="1" x14ac:dyDescent="0.4">
      <c r="B876" s="25"/>
      <c r="C876" s="23"/>
    </row>
    <row r="877" spans="2:3" ht="18.75" customHeight="1" x14ac:dyDescent="0.4">
      <c r="B877" s="25"/>
      <c r="C877" s="23"/>
    </row>
    <row r="878" spans="2:3" ht="18.75" customHeight="1" x14ac:dyDescent="0.4">
      <c r="B878" s="25"/>
      <c r="C878" s="23"/>
    </row>
    <row r="879" spans="2:3" ht="18.75" customHeight="1" x14ac:dyDescent="0.4">
      <c r="B879" s="25"/>
      <c r="C879" s="23"/>
    </row>
    <row r="880" spans="2:3" ht="18.75" customHeight="1" x14ac:dyDescent="0.4">
      <c r="B880" s="25"/>
      <c r="C880" s="23"/>
    </row>
    <row r="881" spans="2:3" ht="18.75" customHeight="1" x14ac:dyDescent="0.4">
      <c r="B881" s="25"/>
      <c r="C881" s="23"/>
    </row>
    <row r="882" spans="2:3" ht="18.75" customHeight="1" x14ac:dyDescent="0.4">
      <c r="B882" s="25"/>
      <c r="C882" s="23"/>
    </row>
    <row r="883" spans="2:3" ht="18.75" customHeight="1" x14ac:dyDescent="0.4">
      <c r="B883" s="25"/>
      <c r="C883" s="23"/>
    </row>
    <row r="884" spans="2:3" ht="18.75" customHeight="1" x14ac:dyDescent="0.4">
      <c r="B884" s="25"/>
      <c r="C884" s="23"/>
    </row>
    <row r="885" spans="2:3" ht="18.75" customHeight="1" x14ac:dyDescent="0.4">
      <c r="B885" s="25"/>
      <c r="C885" s="23"/>
    </row>
    <row r="886" spans="2:3" ht="18.75" customHeight="1" x14ac:dyDescent="0.4">
      <c r="B886" s="25"/>
      <c r="C886" s="23"/>
    </row>
    <row r="887" spans="2:3" ht="18.75" customHeight="1" x14ac:dyDescent="0.4">
      <c r="B887" s="25"/>
      <c r="C887" s="23"/>
    </row>
    <row r="888" spans="2:3" ht="18.75" customHeight="1" x14ac:dyDescent="0.4">
      <c r="B888" s="25"/>
      <c r="C888" s="23"/>
    </row>
    <row r="889" spans="2:3" ht="18.75" customHeight="1" x14ac:dyDescent="0.4">
      <c r="B889" s="25"/>
      <c r="C889" s="23"/>
    </row>
    <row r="890" spans="2:3" ht="18.75" customHeight="1" x14ac:dyDescent="0.4">
      <c r="B890" s="25"/>
      <c r="C890" s="23"/>
    </row>
    <row r="891" spans="2:3" ht="18.75" customHeight="1" x14ac:dyDescent="0.4">
      <c r="B891" s="25"/>
      <c r="C891" s="23"/>
    </row>
    <row r="892" spans="2:3" ht="18.75" customHeight="1" x14ac:dyDescent="0.4">
      <c r="B892" s="25"/>
      <c r="C892" s="23"/>
    </row>
    <row r="893" spans="2:3" ht="18.75" customHeight="1" x14ac:dyDescent="0.4">
      <c r="B893" s="25"/>
      <c r="C893" s="23"/>
    </row>
    <row r="894" spans="2:3" ht="18.75" customHeight="1" x14ac:dyDescent="0.4">
      <c r="B894" s="25"/>
      <c r="C894" s="23"/>
    </row>
    <row r="895" spans="2:3" ht="18.75" customHeight="1" x14ac:dyDescent="0.4">
      <c r="B895" s="25"/>
      <c r="C895" s="23"/>
    </row>
    <row r="896" spans="2:3" ht="18.75" customHeight="1" x14ac:dyDescent="0.4">
      <c r="B896" s="25"/>
      <c r="C896" s="23"/>
    </row>
    <row r="897" spans="2:3" ht="18.75" customHeight="1" x14ac:dyDescent="0.4">
      <c r="B897" s="25"/>
      <c r="C897" s="23"/>
    </row>
    <row r="898" spans="2:3" ht="18.75" customHeight="1" x14ac:dyDescent="0.4">
      <c r="B898" s="25"/>
      <c r="C898" s="23"/>
    </row>
    <row r="899" spans="2:3" ht="18.75" customHeight="1" x14ac:dyDescent="0.4">
      <c r="B899" s="25"/>
      <c r="C899" s="23"/>
    </row>
    <row r="900" spans="2:3" ht="18.75" customHeight="1" x14ac:dyDescent="0.4">
      <c r="B900" s="25"/>
      <c r="C900" s="23"/>
    </row>
    <row r="901" spans="2:3" ht="18.75" customHeight="1" x14ac:dyDescent="0.4">
      <c r="B901" s="25"/>
      <c r="C901" s="23"/>
    </row>
    <row r="902" spans="2:3" ht="18.75" customHeight="1" x14ac:dyDescent="0.4">
      <c r="B902" s="25"/>
      <c r="C902" s="23"/>
    </row>
    <row r="903" spans="2:3" ht="18.75" customHeight="1" x14ac:dyDescent="0.4">
      <c r="B903" s="25"/>
      <c r="C903" s="23"/>
    </row>
    <row r="904" spans="2:3" ht="18.75" customHeight="1" x14ac:dyDescent="0.4">
      <c r="B904" s="25"/>
      <c r="C904" s="23"/>
    </row>
    <row r="905" spans="2:3" ht="18.75" customHeight="1" x14ac:dyDescent="0.4">
      <c r="B905" s="25"/>
      <c r="C905" s="23"/>
    </row>
    <row r="906" spans="2:3" ht="18.75" customHeight="1" x14ac:dyDescent="0.4">
      <c r="B906" s="25"/>
      <c r="C906" s="23"/>
    </row>
    <row r="907" spans="2:3" ht="18.75" customHeight="1" x14ac:dyDescent="0.4">
      <c r="B907" s="25"/>
      <c r="C907" s="23"/>
    </row>
    <row r="908" spans="2:3" ht="18.75" customHeight="1" x14ac:dyDescent="0.4">
      <c r="B908" s="25"/>
      <c r="C908" s="23"/>
    </row>
    <row r="909" spans="2:3" ht="18.75" customHeight="1" x14ac:dyDescent="0.4">
      <c r="B909" s="25"/>
      <c r="C909" s="23"/>
    </row>
    <row r="910" spans="2:3" ht="18.75" customHeight="1" x14ac:dyDescent="0.4">
      <c r="B910" s="25"/>
      <c r="C910" s="23"/>
    </row>
    <row r="911" spans="2:3" ht="18.75" customHeight="1" x14ac:dyDescent="0.4">
      <c r="B911" s="25"/>
      <c r="C911" s="23"/>
    </row>
    <row r="912" spans="2:3" ht="18.75" customHeight="1" x14ac:dyDescent="0.4">
      <c r="B912" s="25"/>
      <c r="C912" s="23"/>
    </row>
    <row r="913" spans="2:3" ht="18.75" customHeight="1" x14ac:dyDescent="0.4">
      <c r="B913" s="25"/>
      <c r="C913" s="23"/>
    </row>
    <row r="914" spans="2:3" ht="18.75" customHeight="1" x14ac:dyDescent="0.4">
      <c r="B914" s="25"/>
      <c r="C914" s="23"/>
    </row>
    <row r="915" spans="2:3" ht="18.75" customHeight="1" x14ac:dyDescent="0.4">
      <c r="B915" s="25"/>
      <c r="C915" s="23"/>
    </row>
    <row r="916" spans="2:3" ht="18.75" customHeight="1" x14ac:dyDescent="0.4">
      <c r="B916" s="25"/>
      <c r="C916" s="23"/>
    </row>
    <row r="917" spans="2:3" ht="18.75" customHeight="1" x14ac:dyDescent="0.4">
      <c r="B917" s="25"/>
      <c r="C917" s="23"/>
    </row>
    <row r="918" spans="2:3" ht="18.75" customHeight="1" x14ac:dyDescent="0.4">
      <c r="B918" s="25"/>
      <c r="C918" s="23"/>
    </row>
    <row r="919" spans="2:3" ht="18.75" customHeight="1" x14ac:dyDescent="0.4">
      <c r="B919" s="25"/>
      <c r="C919" s="23"/>
    </row>
    <row r="920" spans="2:3" ht="18.75" customHeight="1" x14ac:dyDescent="0.4">
      <c r="B920" s="25"/>
      <c r="C920" s="23"/>
    </row>
    <row r="921" spans="2:3" ht="18.75" customHeight="1" x14ac:dyDescent="0.4">
      <c r="B921" s="25"/>
      <c r="C921" s="23"/>
    </row>
    <row r="922" spans="2:3" ht="18.75" customHeight="1" x14ac:dyDescent="0.4">
      <c r="B922" s="25"/>
      <c r="C922" s="23"/>
    </row>
    <row r="923" spans="2:3" ht="18.75" customHeight="1" x14ac:dyDescent="0.4">
      <c r="B923" s="25"/>
      <c r="C923" s="23"/>
    </row>
    <row r="924" spans="2:3" ht="18.75" customHeight="1" x14ac:dyDescent="0.4">
      <c r="B924" s="25"/>
      <c r="C924" s="23"/>
    </row>
    <row r="925" spans="2:3" ht="18.75" customHeight="1" x14ac:dyDescent="0.4">
      <c r="B925" s="25"/>
      <c r="C925" s="23"/>
    </row>
    <row r="926" spans="2:3" ht="18.75" customHeight="1" x14ac:dyDescent="0.4">
      <c r="B926" s="25"/>
      <c r="C926" s="23"/>
    </row>
    <row r="927" spans="2:3" ht="18.75" customHeight="1" x14ac:dyDescent="0.4">
      <c r="B927" s="25"/>
      <c r="C927" s="23"/>
    </row>
    <row r="928" spans="2:3" ht="18.75" customHeight="1" x14ac:dyDescent="0.4">
      <c r="B928" s="25"/>
      <c r="C928" s="23"/>
    </row>
    <row r="929" spans="2:3" ht="18.75" customHeight="1" x14ac:dyDescent="0.4">
      <c r="B929" s="25"/>
      <c r="C929" s="23"/>
    </row>
    <row r="930" spans="2:3" ht="18.75" customHeight="1" x14ac:dyDescent="0.4">
      <c r="B930" s="25"/>
      <c r="C930" s="23"/>
    </row>
    <row r="931" spans="2:3" ht="18.75" customHeight="1" x14ac:dyDescent="0.4">
      <c r="B931" s="25"/>
      <c r="C931" s="23"/>
    </row>
    <row r="932" spans="2:3" ht="18.75" customHeight="1" x14ac:dyDescent="0.4">
      <c r="B932" s="25"/>
      <c r="C932" s="23"/>
    </row>
    <row r="933" spans="2:3" ht="18.75" customHeight="1" x14ac:dyDescent="0.4">
      <c r="B933" s="25"/>
      <c r="C933" s="23"/>
    </row>
    <row r="934" spans="2:3" ht="18.75" customHeight="1" x14ac:dyDescent="0.4">
      <c r="B934" s="25"/>
      <c r="C934" s="23"/>
    </row>
    <row r="935" spans="2:3" ht="18.75" customHeight="1" x14ac:dyDescent="0.4">
      <c r="B935" s="25"/>
      <c r="C935" s="23"/>
    </row>
    <row r="936" spans="2:3" ht="18.75" customHeight="1" x14ac:dyDescent="0.4">
      <c r="B936" s="25"/>
      <c r="C936" s="23"/>
    </row>
    <row r="937" spans="2:3" ht="18.75" customHeight="1" x14ac:dyDescent="0.4">
      <c r="B937" s="25"/>
      <c r="C937" s="23"/>
    </row>
    <row r="938" spans="2:3" ht="18.75" customHeight="1" x14ac:dyDescent="0.4">
      <c r="B938" s="25"/>
      <c r="C938" s="23"/>
    </row>
    <row r="939" spans="2:3" ht="18.75" customHeight="1" x14ac:dyDescent="0.4">
      <c r="B939" s="25"/>
      <c r="C939" s="23"/>
    </row>
    <row r="940" spans="2:3" ht="18.75" customHeight="1" x14ac:dyDescent="0.4">
      <c r="B940" s="25"/>
      <c r="C940" s="23"/>
    </row>
    <row r="941" spans="2:3" ht="18.75" customHeight="1" x14ac:dyDescent="0.4">
      <c r="B941" s="25"/>
      <c r="C941" s="23"/>
    </row>
    <row r="942" spans="2:3" ht="18.75" customHeight="1" x14ac:dyDescent="0.4">
      <c r="B942" s="25"/>
      <c r="C942" s="23"/>
    </row>
    <row r="943" spans="2:3" ht="18.75" customHeight="1" x14ac:dyDescent="0.4">
      <c r="B943" s="25"/>
      <c r="C943" s="23"/>
    </row>
    <row r="944" spans="2:3" ht="18.75" customHeight="1" x14ac:dyDescent="0.4">
      <c r="B944" s="25"/>
      <c r="C944" s="23"/>
    </row>
    <row r="945" spans="2:3" ht="18.75" customHeight="1" x14ac:dyDescent="0.4">
      <c r="B945" s="25"/>
      <c r="C945" s="23"/>
    </row>
    <row r="946" spans="2:3" ht="18.75" customHeight="1" x14ac:dyDescent="0.4">
      <c r="B946" s="25"/>
      <c r="C946" s="23"/>
    </row>
    <row r="947" spans="2:3" ht="18.75" customHeight="1" x14ac:dyDescent="0.4">
      <c r="B947" s="25"/>
      <c r="C947" s="23"/>
    </row>
    <row r="948" spans="2:3" ht="18.75" customHeight="1" x14ac:dyDescent="0.4">
      <c r="B948" s="25"/>
      <c r="C948" s="23"/>
    </row>
    <row r="949" spans="2:3" ht="18.75" customHeight="1" x14ac:dyDescent="0.4">
      <c r="B949" s="25"/>
      <c r="C949" s="23"/>
    </row>
    <row r="950" spans="2:3" ht="18.75" customHeight="1" x14ac:dyDescent="0.4">
      <c r="B950" s="25"/>
      <c r="C950" s="23"/>
    </row>
    <row r="951" spans="2:3" ht="18.75" customHeight="1" x14ac:dyDescent="0.4">
      <c r="B951" s="25"/>
      <c r="C951" s="23"/>
    </row>
    <row r="952" spans="2:3" ht="18.75" customHeight="1" x14ac:dyDescent="0.4">
      <c r="B952" s="25"/>
      <c r="C952" s="23"/>
    </row>
    <row r="953" spans="2:3" ht="18.75" customHeight="1" x14ac:dyDescent="0.4">
      <c r="B953" s="25"/>
      <c r="C953" s="23"/>
    </row>
    <row r="954" spans="2:3" ht="18.75" customHeight="1" x14ac:dyDescent="0.4">
      <c r="B954" s="25"/>
      <c r="C954" s="23"/>
    </row>
    <row r="955" spans="2:3" ht="18.75" customHeight="1" x14ac:dyDescent="0.4">
      <c r="B955" s="25"/>
      <c r="C955" s="23"/>
    </row>
    <row r="956" spans="2:3" ht="18.75" customHeight="1" x14ac:dyDescent="0.4">
      <c r="B956" s="25"/>
      <c r="C956" s="23"/>
    </row>
    <row r="957" spans="2:3" ht="18.75" customHeight="1" x14ac:dyDescent="0.4">
      <c r="B957" s="25"/>
      <c r="C957" s="23"/>
    </row>
    <row r="958" spans="2:3" ht="18.75" customHeight="1" x14ac:dyDescent="0.4">
      <c r="B958" s="25"/>
      <c r="C958" s="23"/>
    </row>
    <row r="959" spans="2:3" ht="18.75" customHeight="1" x14ac:dyDescent="0.4">
      <c r="B959" s="25"/>
      <c r="C959" s="23"/>
    </row>
    <row r="960" spans="2:3" ht="18.75" customHeight="1" x14ac:dyDescent="0.4">
      <c r="B960" s="25"/>
      <c r="C960" s="23"/>
    </row>
    <row r="961" spans="2:3" ht="18.75" customHeight="1" x14ac:dyDescent="0.4">
      <c r="B961" s="25"/>
      <c r="C961" s="23"/>
    </row>
    <row r="962" spans="2:3" ht="18.75" customHeight="1" x14ac:dyDescent="0.4">
      <c r="B962" s="25"/>
      <c r="C962" s="23"/>
    </row>
    <row r="963" spans="2:3" ht="18.75" customHeight="1" x14ac:dyDescent="0.4">
      <c r="B963" s="25"/>
      <c r="C963" s="23"/>
    </row>
    <row r="964" spans="2:3" ht="18.75" customHeight="1" x14ac:dyDescent="0.4">
      <c r="B964" s="25"/>
      <c r="C964" s="23"/>
    </row>
    <row r="965" spans="2:3" ht="18.75" customHeight="1" x14ac:dyDescent="0.4">
      <c r="B965" s="25"/>
      <c r="C965" s="23"/>
    </row>
    <row r="966" spans="2:3" ht="18.75" customHeight="1" x14ac:dyDescent="0.4">
      <c r="B966" s="25"/>
      <c r="C966" s="23"/>
    </row>
    <row r="967" spans="2:3" ht="18.75" customHeight="1" x14ac:dyDescent="0.4">
      <c r="B967" s="25"/>
      <c r="C967" s="23"/>
    </row>
    <row r="968" spans="2:3" ht="18.75" customHeight="1" x14ac:dyDescent="0.4">
      <c r="B968" s="25"/>
      <c r="C968" s="23"/>
    </row>
    <row r="969" spans="2:3" ht="18.75" customHeight="1" x14ac:dyDescent="0.4">
      <c r="B969" s="25"/>
      <c r="C969" s="23"/>
    </row>
    <row r="970" spans="2:3" ht="18.75" customHeight="1" x14ac:dyDescent="0.4">
      <c r="B970" s="25"/>
      <c r="C970" s="23"/>
    </row>
    <row r="971" spans="2:3" ht="18.75" customHeight="1" x14ac:dyDescent="0.4">
      <c r="B971" s="25"/>
      <c r="C971" s="23"/>
    </row>
    <row r="972" spans="2:3" ht="18.75" customHeight="1" x14ac:dyDescent="0.4">
      <c r="B972" s="25"/>
      <c r="C972" s="23"/>
    </row>
    <row r="973" spans="2:3" ht="18.75" customHeight="1" x14ac:dyDescent="0.4">
      <c r="B973" s="25"/>
      <c r="C973" s="23"/>
    </row>
    <row r="974" spans="2:3" ht="18.75" customHeight="1" x14ac:dyDescent="0.4">
      <c r="B974" s="25"/>
      <c r="C974" s="23"/>
    </row>
    <row r="975" spans="2:3" ht="18.75" customHeight="1" x14ac:dyDescent="0.4">
      <c r="B975" s="25"/>
      <c r="C975" s="23"/>
    </row>
    <row r="976" spans="2:3" ht="18.75" customHeight="1" x14ac:dyDescent="0.4">
      <c r="B976" s="25"/>
      <c r="C976" s="23"/>
    </row>
    <row r="977" spans="2:3" ht="18.75" customHeight="1" x14ac:dyDescent="0.4">
      <c r="B977" s="25"/>
      <c r="C977" s="23"/>
    </row>
    <row r="978" spans="2:3" ht="18.75" customHeight="1" x14ac:dyDescent="0.4">
      <c r="B978" s="25"/>
      <c r="C978" s="23"/>
    </row>
    <row r="979" spans="2:3" ht="18.75" customHeight="1" x14ac:dyDescent="0.4">
      <c r="B979" s="25"/>
      <c r="C979" s="23"/>
    </row>
    <row r="980" spans="2:3" ht="18.75" customHeight="1" x14ac:dyDescent="0.4">
      <c r="B980" s="25"/>
      <c r="C980" s="23"/>
    </row>
    <row r="981" spans="2:3" ht="18.75" customHeight="1" x14ac:dyDescent="0.4">
      <c r="B981" s="25"/>
      <c r="C981" s="23"/>
    </row>
    <row r="982" spans="2:3" ht="18.75" customHeight="1" x14ac:dyDescent="0.4">
      <c r="B982" s="25"/>
      <c r="C982" s="23"/>
    </row>
    <row r="983" spans="2:3" ht="18.75" customHeight="1" x14ac:dyDescent="0.4">
      <c r="B983" s="25"/>
      <c r="C983" s="23"/>
    </row>
    <row r="984" spans="2:3" ht="18.75" customHeight="1" x14ac:dyDescent="0.4">
      <c r="B984" s="25"/>
      <c r="C984" s="23"/>
    </row>
    <row r="985" spans="2:3" ht="18.75" customHeight="1" x14ac:dyDescent="0.4">
      <c r="B985" s="25"/>
      <c r="C985" s="23"/>
    </row>
    <row r="986" spans="2:3" ht="18.75" customHeight="1" x14ac:dyDescent="0.4">
      <c r="B986" s="25"/>
      <c r="C986" s="23"/>
    </row>
    <row r="987" spans="2:3" ht="18.75" customHeight="1" x14ac:dyDescent="0.4">
      <c r="B987" s="25"/>
      <c r="C987" s="23"/>
    </row>
    <row r="988" spans="2:3" ht="18.75" customHeight="1" x14ac:dyDescent="0.4">
      <c r="B988" s="25"/>
      <c r="C988" s="23"/>
    </row>
    <row r="989" spans="2:3" ht="18.75" customHeight="1" x14ac:dyDescent="0.4">
      <c r="B989" s="25"/>
      <c r="C989" s="23"/>
    </row>
    <row r="990" spans="2:3" ht="18.75" customHeight="1" x14ac:dyDescent="0.4">
      <c r="B990" s="25"/>
      <c r="C990" s="23"/>
    </row>
    <row r="991" spans="2:3" ht="18.75" customHeight="1" x14ac:dyDescent="0.4">
      <c r="B991" s="25"/>
      <c r="C991" s="23"/>
    </row>
    <row r="992" spans="2:3" ht="18.75" customHeight="1" x14ac:dyDescent="0.4">
      <c r="B992" s="25"/>
      <c r="C992" s="23"/>
    </row>
    <row r="993" spans="2:3" ht="18.75" customHeight="1" x14ac:dyDescent="0.4">
      <c r="B993" s="25"/>
      <c r="C993" s="23"/>
    </row>
    <row r="994" spans="2:3" ht="18.75" customHeight="1" x14ac:dyDescent="0.4">
      <c r="B994" s="25"/>
      <c r="C994" s="23"/>
    </row>
    <row r="995" spans="2:3" ht="18.75" customHeight="1" x14ac:dyDescent="0.4">
      <c r="B995" s="25"/>
      <c r="C995" s="23"/>
    </row>
    <row r="996" spans="2:3" ht="18.75" customHeight="1" x14ac:dyDescent="0.4">
      <c r="B996" s="25"/>
      <c r="C996" s="23"/>
    </row>
    <row r="997" spans="2:3" ht="18.75" customHeight="1" x14ac:dyDescent="0.4">
      <c r="B997" s="25"/>
      <c r="C997" s="23"/>
    </row>
    <row r="998" spans="2:3" ht="18.75" customHeight="1" x14ac:dyDescent="0.4">
      <c r="B998" s="25"/>
      <c r="C998" s="23"/>
    </row>
    <row r="999" spans="2:3" ht="18.75" customHeight="1" x14ac:dyDescent="0.4">
      <c r="B999" s="25"/>
      <c r="C999" s="23"/>
    </row>
    <row r="1000" spans="2:3" ht="18.75" customHeight="1" x14ac:dyDescent="0.4">
      <c r="B1000" s="25"/>
      <c r="C1000" s="23"/>
    </row>
  </sheetData>
  <mergeCells count="10">
    <mergeCell ref="A22:A27"/>
    <mergeCell ref="A28:A34"/>
    <mergeCell ref="A35:A41"/>
    <mergeCell ref="A1:F1"/>
    <mergeCell ref="A2:B2"/>
    <mergeCell ref="D2:E2"/>
    <mergeCell ref="A3:B3"/>
    <mergeCell ref="D3:F3"/>
    <mergeCell ref="A5:A16"/>
    <mergeCell ref="A17:A21"/>
  </mergeCells>
  <dataValidations count="2">
    <dataValidation type="list" allowBlank="1" showErrorMessage="1" sqref="D17 D22 D28 D35 D39" xr:uid="{00000000-0002-0000-0300-000000000000}">
      <formula1>"Sim,Não,NA"</formula1>
    </dataValidation>
    <dataValidation type="list" allowBlank="1" showErrorMessage="1" sqref="D6 D8:D9 D11:D14 D16 D18:D21 D23:D27 D29:D34 D36:D38 D40:D41" xr:uid="{00000000-0002-0000-0300-000001000000}">
      <formula1>"Sim,Parcialmente,Não,NA"</formula1>
    </dataValidation>
  </dataValidations>
  <pageMargins left="0.511811024" right="0.511811024" top="0.78740157499999996" bottom="0.78740157499999996" header="0" footer="0"/>
  <pageSetup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>
      <selection activeCell="C31" sqref="C31"/>
    </sheetView>
  </sheetViews>
  <sheetFormatPr defaultColWidth="14.42578125" defaultRowHeight="15" customHeight="1" x14ac:dyDescent="0.25"/>
  <cols>
    <col min="1" max="1" width="21.140625" customWidth="1"/>
    <col min="2" max="2" width="5.28515625" customWidth="1"/>
    <col min="3" max="3" width="71.28515625" customWidth="1"/>
    <col min="4" max="4" width="12.7109375" customWidth="1"/>
    <col min="5" max="5" width="29.7109375" customWidth="1"/>
    <col min="6" max="6" width="32.7109375" customWidth="1"/>
    <col min="7" max="10" width="9.140625" hidden="1" customWidth="1"/>
    <col min="11" max="26" width="8.7109375" customWidth="1"/>
  </cols>
  <sheetData>
    <row r="1" spans="1:26" ht="19.5" customHeight="1" x14ac:dyDescent="0.25">
      <c r="A1" s="36" t="s">
        <v>29</v>
      </c>
      <c r="B1" s="37"/>
      <c r="C1" s="37"/>
      <c r="D1" s="37"/>
      <c r="E1" s="37"/>
      <c r="F1" s="38"/>
    </row>
    <row r="2" spans="1:26" ht="18.75" customHeight="1" x14ac:dyDescent="0.25">
      <c r="A2" s="39" t="s">
        <v>30</v>
      </c>
      <c r="B2" s="38"/>
      <c r="C2" s="26"/>
      <c r="D2" s="40" t="s">
        <v>31</v>
      </c>
      <c r="E2" s="41"/>
      <c r="F2" s="9">
        <f>COUNTIF(D5:D42,"Sim")/(COUNTA(D5:D41)-COUNTIF(D5:D41,"NA"))</f>
        <v>0.94736842105263153</v>
      </c>
    </row>
    <row r="3" spans="1:26" ht="18.75" customHeight="1" x14ac:dyDescent="0.25">
      <c r="A3" s="39" t="s">
        <v>32</v>
      </c>
      <c r="B3" s="38"/>
      <c r="C3" s="10"/>
      <c r="D3" s="42" t="s">
        <v>34</v>
      </c>
      <c r="E3" s="43"/>
      <c r="F3" s="44"/>
    </row>
    <row r="4" spans="1:26" ht="18.75" customHeight="1" x14ac:dyDescent="0.25">
      <c r="A4" s="11" t="s">
        <v>35</v>
      </c>
      <c r="B4" s="11" t="s">
        <v>36</v>
      </c>
      <c r="C4" s="11" t="s">
        <v>37</v>
      </c>
      <c r="D4" s="27" t="s">
        <v>38</v>
      </c>
      <c r="E4" s="11" t="s">
        <v>39</v>
      </c>
      <c r="F4" s="11" t="s">
        <v>40</v>
      </c>
    </row>
    <row r="5" spans="1:26" ht="15" customHeight="1" x14ac:dyDescent="0.25">
      <c r="A5" s="29" t="s">
        <v>44</v>
      </c>
      <c r="B5" s="15"/>
      <c r="C5" s="16" t="s">
        <v>13</v>
      </c>
      <c r="D5" s="17"/>
      <c r="E5" s="17"/>
      <c r="F5" s="17"/>
    </row>
    <row r="6" spans="1:26" ht="18.75" customHeight="1" x14ac:dyDescent="0.25">
      <c r="A6" s="30"/>
      <c r="B6" s="18">
        <v>1</v>
      </c>
      <c r="C6" s="19" t="s">
        <v>74</v>
      </c>
      <c r="D6" s="20" t="s">
        <v>55</v>
      </c>
      <c r="E6" s="19"/>
      <c r="F6" s="19"/>
      <c r="G6" s="5">
        <f>COUNTIF(D6,"Sim")</f>
        <v>0</v>
      </c>
      <c r="H6" s="5">
        <f>COUNTIF(D6,"Parcialmente")</f>
        <v>0</v>
      </c>
      <c r="I6" s="5">
        <f>COUNTIF(D6,"Não")</f>
        <v>0</v>
      </c>
      <c r="J6" s="5">
        <f>COUNTIF(D6,"NA")</f>
        <v>1</v>
      </c>
    </row>
    <row r="7" spans="1:26" ht="18.75" customHeight="1" x14ac:dyDescent="0.25">
      <c r="A7" s="30"/>
      <c r="B7" s="15"/>
      <c r="C7" s="16" t="s">
        <v>14</v>
      </c>
      <c r="D7" s="17"/>
      <c r="E7" s="17"/>
      <c r="F7" s="17"/>
    </row>
    <row r="8" spans="1:26" ht="30" x14ac:dyDescent="0.25">
      <c r="A8" s="30"/>
      <c r="B8" s="18">
        <v>2</v>
      </c>
      <c r="C8" s="19" t="s">
        <v>75</v>
      </c>
      <c r="D8" s="20" t="s">
        <v>46</v>
      </c>
      <c r="E8" s="19"/>
      <c r="F8" s="19"/>
      <c r="G8" s="5">
        <f>COUNTIF(D8,"Sim")</f>
        <v>1</v>
      </c>
      <c r="H8" s="5">
        <f>COUNTIF(D8,"Parcialmente")</f>
        <v>0</v>
      </c>
      <c r="I8" s="5">
        <f>COUNTIF(D8,"Não")</f>
        <v>0</v>
      </c>
      <c r="J8" s="5">
        <f>COUNTIF(D8,"NA")</f>
        <v>0</v>
      </c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spans="1:26" ht="18.75" customHeight="1" x14ac:dyDescent="0.25">
      <c r="A9" s="30"/>
      <c r="B9" s="15"/>
      <c r="C9" s="16" t="s">
        <v>57</v>
      </c>
      <c r="D9" s="17"/>
      <c r="E9" s="17"/>
      <c r="F9" s="17"/>
    </row>
    <row r="10" spans="1:26" ht="18.75" customHeight="1" x14ac:dyDescent="0.25">
      <c r="A10" s="30"/>
      <c r="B10" s="18">
        <v>3</v>
      </c>
      <c r="C10" s="19" t="s">
        <v>77</v>
      </c>
      <c r="D10" s="20" t="s">
        <v>46</v>
      </c>
      <c r="E10" s="19"/>
      <c r="F10" s="19"/>
      <c r="G10" s="5">
        <f>COUNTIF(D10:D12,"Sim")</f>
        <v>2</v>
      </c>
      <c r="H10" s="5">
        <f>COUNTIF(D10:D12,"Parcialmente")</f>
        <v>0</v>
      </c>
      <c r="I10" s="5">
        <f>COUNTIF(D10:D12,"Não")</f>
        <v>0</v>
      </c>
      <c r="J10" s="5">
        <f>COUNTIF(D10:D12,"NA")</f>
        <v>1</v>
      </c>
    </row>
    <row r="11" spans="1:26" ht="18.75" customHeight="1" x14ac:dyDescent="0.25">
      <c r="A11" s="30"/>
      <c r="B11" s="18">
        <v>4</v>
      </c>
      <c r="C11" s="19" t="s">
        <v>101</v>
      </c>
      <c r="D11" s="20" t="s">
        <v>46</v>
      </c>
      <c r="E11" s="19"/>
      <c r="F11" s="19"/>
    </row>
    <row r="12" spans="1:26" ht="18.75" customHeight="1" x14ac:dyDescent="0.25">
      <c r="A12" s="30"/>
      <c r="B12" s="18">
        <v>5</v>
      </c>
      <c r="C12" s="19" t="s">
        <v>79</v>
      </c>
      <c r="D12" s="20" t="s">
        <v>55</v>
      </c>
      <c r="E12" s="19"/>
      <c r="F12" s="19"/>
    </row>
    <row r="13" spans="1:26" ht="18.75" customHeight="1" x14ac:dyDescent="0.25">
      <c r="A13" s="30"/>
      <c r="B13" s="15"/>
      <c r="C13" s="16" t="s">
        <v>16</v>
      </c>
      <c r="D13" s="17"/>
      <c r="E13" s="17"/>
      <c r="F13" s="17"/>
    </row>
    <row r="14" spans="1:26" ht="18.75" customHeight="1" x14ac:dyDescent="0.25">
      <c r="A14" s="31"/>
      <c r="B14" s="18">
        <v>6</v>
      </c>
      <c r="C14" s="19" t="s">
        <v>81</v>
      </c>
      <c r="D14" s="20" t="s">
        <v>55</v>
      </c>
      <c r="E14" s="19"/>
      <c r="F14" s="19"/>
      <c r="G14" s="5">
        <f>COUNTIF(D14,"Sim")</f>
        <v>0</v>
      </c>
      <c r="H14" s="5">
        <f>COUNTIF(D14,"Parcialmente")</f>
        <v>0</v>
      </c>
      <c r="I14" s="5">
        <f>COUNTIF(D14,"Não")</f>
        <v>0</v>
      </c>
      <c r="J14" s="5">
        <f>COUNTIF(D14,"NA")</f>
        <v>1</v>
      </c>
    </row>
    <row r="15" spans="1:26" ht="15" customHeight="1" x14ac:dyDescent="0.25">
      <c r="A15" s="29" t="s">
        <v>82</v>
      </c>
      <c r="B15" s="15"/>
      <c r="C15" s="16" t="s">
        <v>18</v>
      </c>
      <c r="D15" s="28"/>
      <c r="E15" s="17"/>
      <c r="F15" s="17"/>
    </row>
    <row r="16" spans="1:26" ht="18.75" customHeight="1" x14ac:dyDescent="0.25">
      <c r="A16" s="31"/>
      <c r="B16" s="18">
        <v>8</v>
      </c>
      <c r="C16" s="19" t="s">
        <v>102</v>
      </c>
      <c r="D16" s="20" t="s">
        <v>55</v>
      </c>
      <c r="E16" s="19"/>
      <c r="F16" s="19"/>
      <c r="G16" s="5">
        <f>COUNTIF(D16,"Sim")</f>
        <v>0</v>
      </c>
      <c r="H16" s="5">
        <f>COUNTIF(D16,"Parcialmente")</f>
        <v>0</v>
      </c>
      <c r="I16" s="5">
        <f>COUNTIF(D16,"Não")</f>
        <v>0</v>
      </c>
      <c r="J16" s="5">
        <f>COUNTIF(D16,"NA")</f>
        <v>1</v>
      </c>
    </row>
    <row r="17" spans="1:10" ht="18.75" customHeight="1" x14ac:dyDescent="0.25">
      <c r="A17" s="29" t="s">
        <v>87</v>
      </c>
      <c r="B17" s="15"/>
      <c r="C17" s="16" t="s">
        <v>22</v>
      </c>
      <c r="D17" s="28"/>
      <c r="E17" s="17"/>
      <c r="F17" s="17"/>
    </row>
    <row r="18" spans="1:10" ht="18.75" customHeight="1" x14ac:dyDescent="0.25">
      <c r="A18" s="30"/>
      <c r="B18" s="18">
        <v>11</v>
      </c>
      <c r="C18" s="19" t="s">
        <v>103</v>
      </c>
      <c r="D18" s="20" t="s">
        <v>46</v>
      </c>
      <c r="E18" s="19"/>
      <c r="F18" s="19"/>
      <c r="G18" s="5">
        <f>COUNTIF(D18:D22,"Sim")</f>
        <v>4</v>
      </c>
      <c r="H18" s="5">
        <f>COUNTIF(D18:D22,"Parcialmente")</f>
        <v>0</v>
      </c>
      <c r="I18" s="5">
        <f>COUNTIF(D18:D22,"Não")</f>
        <v>1</v>
      </c>
      <c r="J18" s="5">
        <f>COUNTIF(D18:D22,"NA")</f>
        <v>0</v>
      </c>
    </row>
    <row r="19" spans="1:10" ht="18.75" customHeight="1" x14ac:dyDescent="0.25">
      <c r="A19" s="30"/>
      <c r="B19" s="18">
        <v>13</v>
      </c>
      <c r="C19" s="19" t="s">
        <v>88</v>
      </c>
      <c r="D19" s="20" t="s">
        <v>46</v>
      </c>
      <c r="E19" s="19"/>
      <c r="F19" s="19"/>
    </row>
    <row r="20" spans="1:10" ht="18.75" customHeight="1" x14ac:dyDescent="0.25">
      <c r="A20" s="30"/>
      <c r="B20" s="18">
        <v>14</v>
      </c>
      <c r="C20" s="19" t="s">
        <v>89</v>
      </c>
      <c r="D20" s="20" t="s">
        <v>46</v>
      </c>
      <c r="E20" s="19"/>
      <c r="F20" s="19"/>
    </row>
    <row r="21" spans="1:10" ht="18.75" customHeight="1" x14ac:dyDescent="0.25">
      <c r="A21" s="30"/>
      <c r="B21" s="18">
        <v>15</v>
      </c>
      <c r="C21" s="19" t="s">
        <v>90</v>
      </c>
      <c r="D21" s="20" t="s">
        <v>43</v>
      </c>
      <c r="E21" s="19"/>
      <c r="F21" s="19"/>
    </row>
    <row r="22" spans="1:10" ht="18.75" customHeight="1" x14ac:dyDescent="0.25">
      <c r="A22" s="31"/>
      <c r="B22" s="18">
        <v>16</v>
      </c>
      <c r="C22" s="19" t="s">
        <v>91</v>
      </c>
      <c r="D22" s="20" t="s">
        <v>46</v>
      </c>
      <c r="E22" s="19"/>
      <c r="F22" s="19"/>
    </row>
    <row r="23" spans="1:10" ht="18.75" customHeight="1" x14ac:dyDescent="0.25">
      <c r="A23" s="29" t="s">
        <v>104</v>
      </c>
      <c r="B23" s="15"/>
      <c r="C23" s="16" t="s">
        <v>26</v>
      </c>
      <c r="D23" s="28"/>
      <c r="E23" s="17"/>
      <c r="F23" s="17"/>
    </row>
    <row r="24" spans="1:10" ht="18.75" customHeight="1" x14ac:dyDescent="0.25">
      <c r="A24" s="30"/>
      <c r="B24" s="24">
        <v>17</v>
      </c>
      <c r="C24" s="22" t="s">
        <v>45</v>
      </c>
      <c r="D24" s="20" t="s">
        <v>46</v>
      </c>
      <c r="E24" s="19"/>
      <c r="F24" s="19"/>
      <c r="G24" s="5">
        <f>COUNTIF(D24:D28,"Sim")</f>
        <v>4</v>
      </c>
      <c r="H24" s="5">
        <f>COUNTIF(D24:D28,"Parcialmente")</f>
        <v>0</v>
      </c>
      <c r="I24" s="5">
        <f>COUNTIF(D24:D28,"Não")</f>
        <v>1</v>
      </c>
      <c r="J24" s="5">
        <f>COUNTIF(D24:D28,"NA")</f>
        <v>0</v>
      </c>
    </row>
    <row r="25" spans="1:10" ht="18.75" customHeight="1" x14ac:dyDescent="0.25">
      <c r="A25" s="30"/>
      <c r="B25" s="18">
        <v>18</v>
      </c>
      <c r="C25" s="19" t="s">
        <v>105</v>
      </c>
      <c r="D25" s="20" t="s">
        <v>46</v>
      </c>
      <c r="E25" s="19"/>
      <c r="F25" s="19"/>
    </row>
    <row r="26" spans="1:10" ht="18.75" customHeight="1" x14ac:dyDescent="0.25">
      <c r="A26" s="30"/>
      <c r="B26" s="18">
        <v>19</v>
      </c>
      <c r="C26" s="19" t="s">
        <v>106</v>
      </c>
      <c r="D26" s="20" t="s">
        <v>46</v>
      </c>
      <c r="E26" s="19"/>
      <c r="F26" s="19"/>
    </row>
    <row r="27" spans="1:10" ht="18.75" customHeight="1" x14ac:dyDescent="0.25">
      <c r="A27" s="30"/>
      <c r="B27" s="18">
        <v>21</v>
      </c>
      <c r="C27" s="19" t="s">
        <v>107</v>
      </c>
      <c r="D27" s="20" t="s">
        <v>43</v>
      </c>
      <c r="E27" s="19"/>
      <c r="F27" s="19"/>
    </row>
    <row r="28" spans="1:10" ht="18.75" customHeight="1" x14ac:dyDescent="0.25">
      <c r="A28" s="31"/>
      <c r="B28" s="18">
        <v>22</v>
      </c>
      <c r="C28" s="19" t="s">
        <v>108</v>
      </c>
      <c r="D28" s="20" t="s">
        <v>46</v>
      </c>
      <c r="E28" s="19"/>
      <c r="F28" s="19"/>
    </row>
    <row r="29" spans="1:10" ht="18.75" customHeight="1" x14ac:dyDescent="0.25">
      <c r="A29" s="29" t="s">
        <v>92</v>
      </c>
      <c r="B29" s="15"/>
      <c r="C29" s="16" t="s">
        <v>23</v>
      </c>
      <c r="D29" s="28"/>
      <c r="E29" s="17"/>
      <c r="F29" s="17"/>
    </row>
    <row r="30" spans="1:10" ht="18.75" customHeight="1" x14ac:dyDescent="0.25">
      <c r="A30" s="30"/>
      <c r="B30" s="18">
        <v>24</v>
      </c>
      <c r="C30" s="19" t="s">
        <v>93</v>
      </c>
      <c r="D30" s="20" t="s">
        <v>46</v>
      </c>
      <c r="E30" s="19"/>
      <c r="F30" s="19"/>
      <c r="G30" s="5">
        <f>COUNTIF(D30:D34,"Sim")</f>
        <v>2</v>
      </c>
      <c r="H30" s="5">
        <f>COUNTIF(D30:D34,"Parcialmente")</f>
        <v>0</v>
      </c>
      <c r="I30" s="5">
        <f>COUNTIF(D30:D34,"Não")</f>
        <v>0</v>
      </c>
      <c r="J30" s="5">
        <f>COUNTIF(D30:D34,"NA")</f>
        <v>3</v>
      </c>
    </row>
    <row r="31" spans="1:10" ht="18.75" customHeight="1" x14ac:dyDescent="0.25">
      <c r="A31" s="30"/>
      <c r="B31" s="18">
        <v>26</v>
      </c>
      <c r="C31" s="19" t="s">
        <v>109</v>
      </c>
      <c r="D31" s="20" t="s">
        <v>55</v>
      </c>
      <c r="E31" s="19"/>
      <c r="F31" s="19"/>
    </row>
    <row r="32" spans="1:10" ht="18.75" customHeight="1" x14ac:dyDescent="0.25">
      <c r="A32" s="30"/>
      <c r="B32" s="18">
        <v>27</v>
      </c>
      <c r="C32" s="19" t="s">
        <v>110</v>
      </c>
      <c r="D32" s="20" t="s">
        <v>46</v>
      </c>
      <c r="E32" s="19"/>
      <c r="F32" s="19"/>
    </row>
    <row r="33" spans="1:10" ht="18.75" customHeight="1" x14ac:dyDescent="0.25">
      <c r="A33" s="30"/>
      <c r="B33" s="18">
        <v>28</v>
      </c>
      <c r="C33" s="19" t="s">
        <v>97</v>
      </c>
      <c r="D33" s="20" t="s">
        <v>55</v>
      </c>
      <c r="E33" s="19"/>
      <c r="F33" s="19"/>
    </row>
    <row r="34" spans="1:10" ht="18.75" customHeight="1" x14ac:dyDescent="0.25">
      <c r="A34" s="32"/>
      <c r="B34" s="18">
        <v>29</v>
      </c>
      <c r="C34" s="19" t="s">
        <v>98</v>
      </c>
      <c r="D34" s="20" t="s">
        <v>55</v>
      </c>
      <c r="E34" s="19"/>
      <c r="F34" s="19"/>
    </row>
    <row r="35" spans="1:10" ht="15" customHeight="1" x14ac:dyDescent="0.25">
      <c r="A35" s="33" t="s">
        <v>69</v>
      </c>
      <c r="B35" s="15"/>
      <c r="C35" s="16" t="s">
        <v>24</v>
      </c>
      <c r="D35" s="28"/>
      <c r="E35" s="17"/>
      <c r="F35" s="17"/>
    </row>
    <row r="36" spans="1:10" ht="18.75" customHeight="1" x14ac:dyDescent="0.25">
      <c r="A36" s="34"/>
      <c r="B36" s="18">
        <v>30</v>
      </c>
      <c r="C36" s="19" t="s">
        <v>71</v>
      </c>
      <c r="D36" s="20" t="s">
        <v>46</v>
      </c>
      <c r="E36" s="19"/>
      <c r="F36" s="19"/>
      <c r="G36" s="5">
        <f>COUNTIF(D36:D38,"Sim")</f>
        <v>3</v>
      </c>
      <c r="H36" s="5">
        <f>COUNTIF(D36:D38,"Parcialmente")</f>
        <v>0</v>
      </c>
      <c r="I36" s="5">
        <f>COUNTIF(D36:D38,"Não")</f>
        <v>0</v>
      </c>
      <c r="J36" s="5">
        <f>COUNTIF(D36:D38,"NA")</f>
        <v>0</v>
      </c>
    </row>
    <row r="37" spans="1:10" ht="18.75" customHeight="1" x14ac:dyDescent="0.25">
      <c r="A37" s="34"/>
      <c r="B37" s="18">
        <v>31</v>
      </c>
      <c r="C37" s="19" t="s">
        <v>72</v>
      </c>
      <c r="D37" s="20" t="s">
        <v>46</v>
      </c>
      <c r="E37" s="19"/>
      <c r="F37" s="19"/>
    </row>
    <row r="38" spans="1:10" ht="18.75" customHeight="1" x14ac:dyDescent="0.25">
      <c r="A38" s="34"/>
      <c r="B38" s="18">
        <v>32</v>
      </c>
      <c r="C38" s="19" t="s">
        <v>73</v>
      </c>
      <c r="D38" s="20" t="s">
        <v>46</v>
      </c>
      <c r="E38" s="19"/>
      <c r="F38" s="19"/>
    </row>
    <row r="39" spans="1:10" ht="18.75" customHeight="1" x14ac:dyDescent="0.25">
      <c r="A39" s="34"/>
      <c r="B39" s="18"/>
      <c r="C39" s="19" t="s">
        <v>111</v>
      </c>
      <c r="D39" s="20" t="s">
        <v>46</v>
      </c>
      <c r="E39" s="19"/>
      <c r="F39" s="19"/>
    </row>
    <row r="40" spans="1:10" ht="18.75" customHeight="1" x14ac:dyDescent="0.25">
      <c r="A40" s="34"/>
      <c r="B40" s="15"/>
      <c r="C40" s="16" t="s">
        <v>25</v>
      </c>
      <c r="D40" s="28"/>
      <c r="E40" s="17"/>
      <c r="F40" s="17"/>
    </row>
    <row r="41" spans="1:10" ht="18.75" customHeight="1" x14ac:dyDescent="0.25">
      <c r="A41" s="34"/>
      <c r="B41" s="18">
        <v>33</v>
      </c>
      <c r="C41" s="19" t="s">
        <v>99</v>
      </c>
      <c r="D41" s="20" t="s">
        <v>55</v>
      </c>
      <c r="E41" s="19"/>
      <c r="F41" s="19"/>
      <c r="G41" s="5">
        <f>COUNTIF(D41:D42,"Sim")</f>
        <v>1</v>
      </c>
      <c r="H41" s="5">
        <f>COUNTIF(D41:D42,"Parcialmente")</f>
        <v>0</v>
      </c>
      <c r="I41" s="5">
        <f>COUNTIF(D41:D42,"Não")</f>
        <v>0</v>
      </c>
      <c r="J41" s="5">
        <f>COUNTIF(D41:D42,"NA")</f>
        <v>1</v>
      </c>
    </row>
    <row r="42" spans="1:10" ht="18.75" customHeight="1" x14ac:dyDescent="0.25">
      <c r="A42" s="35"/>
      <c r="B42" s="18">
        <v>34</v>
      </c>
      <c r="C42" s="19" t="s">
        <v>100</v>
      </c>
      <c r="D42" s="20" t="s">
        <v>46</v>
      </c>
      <c r="E42" s="19"/>
      <c r="F42" s="19"/>
    </row>
    <row r="43" spans="1:10" ht="18.75" customHeight="1" x14ac:dyDescent="0.4">
      <c r="B43" s="25"/>
      <c r="C43" s="23"/>
    </row>
    <row r="44" spans="1:10" ht="18.75" customHeight="1" x14ac:dyDescent="0.4">
      <c r="B44" s="25"/>
      <c r="C44" s="23"/>
    </row>
    <row r="45" spans="1:10" ht="18.75" customHeight="1" x14ac:dyDescent="0.4">
      <c r="B45" s="25"/>
      <c r="C45" s="23"/>
    </row>
    <row r="46" spans="1:10" ht="18.75" customHeight="1" x14ac:dyDescent="0.4">
      <c r="B46" s="25"/>
      <c r="C46" s="23"/>
    </row>
    <row r="47" spans="1:10" ht="18.75" customHeight="1" x14ac:dyDescent="0.4">
      <c r="B47" s="25"/>
      <c r="C47" s="23"/>
    </row>
    <row r="48" spans="1:10" ht="18.75" customHeight="1" x14ac:dyDescent="0.4">
      <c r="B48" s="25"/>
      <c r="C48" s="23"/>
    </row>
    <row r="49" spans="2:3" ht="18.75" customHeight="1" x14ac:dyDescent="0.4">
      <c r="B49" s="25"/>
      <c r="C49" s="23"/>
    </row>
    <row r="50" spans="2:3" ht="18.75" customHeight="1" x14ac:dyDescent="0.4">
      <c r="B50" s="25"/>
      <c r="C50" s="23"/>
    </row>
    <row r="51" spans="2:3" ht="18.75" customHeight="1" x14ac:dyDescent="0.25"/>
    <row r="52" spans="2:3" ht="18.75" customHeight="1" x14ac:dyDescent="0.25"/>
    <row r="53" spans="2:3" ht="18.75" customHeight="1" x14ac:dyDescent="0.25"/>
    <row r="54" spans="2:3" ht="18.75" customHeight="1" x14ac:dyDescent="0.25"/>
    <row r="55" spans="2:3" ht="18.75" customHeight="1" x14ac:dyDescent="0.25"/>
    <row r="56" spans="2:3" ht="18.75" customHeight="1" x14ac:dyDescent="0.25"/>
    <row r="57" spans="2:3" ht="18.75" customHeight="1" x14ac:dyDescent="0.25"/>
    <row r="58" spans="2:3" ht="18.75" customHeight="1" x14ac:dyDescent="0.4">
      <c r="B58" s="25"/>
      <c r="C58" s="23"/>
    </row>
    <row r="59" spans="2:3" ht="18.75" customHeight="1" x14ac:dyDescent="0.4">
      <c r="B59" s="25"/>
      <c r="C59" s="23"/>
    </row>
    <row r="60" spans="2:3" ht="18.75" customHeight="1" x14ac:dyDescent="0.4">
      <c r="B60" s="25"/>
      <c r="C60" s="23"/>
    </row>
    <row r="61" spans="2:3" ht="18.75" customHeight="1" x14ac:dyDescent="0.4">
      <c r="B61" s="25"/>
      <c r="C61" s="23"/>
    </row>
    <row r="62" spans="2:3" ht="18.75" customHeight="1" x14ac:dyDescent="0.4">
      <c r="B62" s="25"/>
      <c r="C62" s="23"/>
    </row>
    <row r="63" spans="2:3" ht="18.75" customHeight="1" x14ac:dyDescent="0.4">
      <c r="B63" s="25"/>
      <c r="C63" s="23"/>
    </row>
    <row r="64" spans="2:3" ht="18.75" customHeight="1" x14ac:dyDescent="0.4">
      <c r="B64" s="25"/>
      <c r="C64" s="23"/>
    </row>
    <row r="65" spans="2:3" ht="18.75" customHeight="1" x14ac:dyDescent="0.4">
      <c r="B65" s="25"/>
      <c r="C65" s="23"/>
    </row>
    <row r="66" spans="2:3" ht="18.75" customHeight="1" x14ac:dyDescent="0.4">
      <c r="B66" s="25"/>
      <c r="C66" s="23"/>
    </row>
    <row r="67" spans="2:3" ht="18.75" customHeight="1" x14ac:dyDescent="0.4">
      <c r="B67" s="25"/>
      <c r="C67" s="23"/>
    </row>
    <row r="68" spans="2:3" ht="18.75" customHeight="1" x14ac:dyDescent="0.4">
      <c r="B68" s="25"/>
      <c r="C68" s="23"/>
    </row>
    <row r="69" spans="2:3" ht="18.75" customHeight="1" x14ac:dyDescent="0.4">
      <c r="B69" s="25"/>
      <c r="C69" s="23"/>
    </row>
    <row r="70" spans="2:3" ht="18.75" customHeight="1" x14ac:dyDescent="0.4">
      <c r="B70" s="25"/>
      <c r="C70" s="23"/>
    </row>
    <row r="71" spans="2:3" ht="18.75" customHeight="1" x14ac:dyDescent="0.4">
      <c r="B71" s="25"/>
      <c r="C71" s="23"/>
    </row>
    <row r="72" spans="2:3" ht="18.75" customHeight="1" x14ac:dyDescent="0.4">
      <c r="B72" s="25"/>
      <c r="C72" s="23"/>
    </row>
    <row r="73" spans="2:3" ht="18.75" customHeight="1" x14ac:dyDescent="0.4">
      <c r="B73" s="25"/>
      <c r="C73" s="23"/>
    </row>
    <row r="74" spans="2:3" ht="18.75" customHeight="1" x14ac:dyDescent="0.4">
      <c r="B74" s="25"/>
      <c r="C74" s="23"/>
    </row>
    <row r="75" spans="2:3" ht="18.75" customHeight="1" x14ac:dyDescent="0.4">
      <c r="B75" s="25"/>
      <c r="C75" s="23"/>
    </row>
    <row r="76" spans="2:3" ht="18.75" customHeight="1" x14ac:dyDescent="0.4">
      <c r="B76" s="25"/>
      <c r="C76" s="23"/>
    </row>
    <row r="77" spans="2:3" ht="18.75" customHeight="1" x14ac:dyDescent="0.4">
      <c r="B77" s="25"/>
      <c r="C77" s="23"/>
    </row>
    <row r="78" spans="2:3" ht="18.75" customHeight="1" x14ac:dyDescent="0.4">
      <c r="B78" s="25"/>
      <c r="C78" s="23"/>
    </row>
    <row r="79" spans="2:3" ht="18.75" customHeight="1" x14ac:dyDescent="0.4">
      <c r="B79" s="25"/>
      <c r="C79" s="23"/>
    </row>
    <row r="80" spans="2:3" ht="18.75" customHeight="1" x14ac:dyDescent="0.4">
      <c r="B80" s="25"/>
      <c r="C80" s="23"/>
    </row>
    <row r="81" spans="2:3" ht="18.75" customHeight="1" x14ac:dyDescent="0.4">
      <c r="B81" s="25"/>
      <c r="C81" s="23"/>
    </row>
    <row r="82" spans="2:3" ht="18.75" customHeight="1" x14ac:dyDescent="0.4">
      <c r="B82" s="25"/>
      <c r="C82" s="23"/>
    </row>
    <row r="83" spans="2:3" ht="18.75" customHeight="1" x14ac:dyDescent="0.4">
      <c r="B83" s="25"/>
      <c r="C83" s="23"/>
    </row>
    <row r="84" spans="2:3" ht="18.75" customHeight="1" x14ac:dyDescent="0.4">
      <c r="B84" s="25"/>
      <c r="C84" s="23"/>
    </row>
    <row r="85" spans="2:3" ht="18.75" customHeight="1" x14ac:dyDescent="0.4">
      <c r="B85" s="25"/>
      <c r="C85" s="23"/>
    </row>
    <row r="86" spans="2:3" ht="18.75" customHeight="1" x14ac:dyDescent="0.4">
      <c r="B86" s="25"/>
      <c r="C86" s="23"/>
    </row>
    <row r="87" spans="2:3" ht="18.75" customHeight="1" x14ac:dyDescent="0.4">
      <c r="B87" s="25"/>
      <c r="C87" s="23"/>
    </row>
    <row r="88" spans="2:3" ht="18.75" customHeight="1" x14ac:dyDescent="0.4">
      <c r="B88" s="25"/>
      <c r="C88" s="23"/>
    </row>
    <row r="89" spans="2:3" ht="18.75" customHeight="1" x14ac:dyDescent="0.4">
      <c r="B89" s="25"/>
      <c r="C89" s="23"/>
    </row>
    <row r="90" spans="2:3" ht="18.75" customHeight="1" x14ac:dyDescent="0.4">
      <c r="B90" s="25"/>
      <c r="C90" s="23"/>
    </row>
    <row r="91" spans="2:3" ht="18.75" customHeight="1" x14ac:dyDescent="0.4">
      <c r="B91" s="25"/>
      <c r="C91" s="23"/>
    </row>
    <row r="92" spans="2:3" ht="18.75" customHeight="1" x14ac:dyDescent="0.4">
      <c r="B92" s="25"/>
      <c r="C92" s="23"/>
    </row>
    <row r="93" spans="2:3" ht="18.75" customHeight="1" x14ac:dyDescent="0.4">
      <c r="B93" s="25"/>
      <c r="C93" s="23"/>
    </row>
    <row r="94" spans="2:3" ht="18.75" customHeight="1" x14ac:dyDescent="0.4">
      <c r="B94" s="25"/>
      <c r="C94" s="23"/>
    </row>
    <row r="95" spans="2:3" ht="18.75" customHeight="1" x14ac:dyDescent="0.4">
      <c r="B95" s="25"/>
      <c r="C95" s="23"/>
    </row>
    <row r="96" spans="2:3" ht="18.75" customHeight="1" x14ac:dyDescent="0.4">
      <c r="B96" s="25"/>
      <c r="C96" s="23"/>
    </row>
    <row r="97" spans="2:3" ht="18.75" customHeight="1" x14ac:dyDescent="0.4">
      <c r="B97" s="25"/>
      <c r="C97" s="23"/>
    </row>
    <row r="98" spans="2:3" ht="18.75" customHeight="1" x14ac:dyDescent="0.4">
      <c r="B98" s="25"/>
      <c r="C98" s="23"/>
    </row>
    <row r="99" spans="2:3" ht="18.75" customHeight="1" x14ac:dyDescent="0.4">
      <c r="B99" s="25"/>
      <c r="C99" s="23"/>
    </row>
    <row r="100" spans="2:3" ht="18.75" customHeight="1" x14ac:dyDescent="0.4">
      <c r="B100" s="25"/>
      <c r="C100" s="23"/>
    </row>
    <row r="101" spans="2:3" ht="18.75" customHeight="1" x14ac:dyDescent="0.4">
      <c r="B101" s="25"/>
      <c r="C101" s="23"/>
    </row>
    <row r="102" spans="2:3" ht="18.75" customHeight="1" x14ac:dyDescent="0.4">
      <c r="B102" s="25"/>
      <c r="C102" s="23"/>
    </row>
    <row r="103" spans="2:3" ht="18.75" customHeight="1" x14ac:dyDescent="0.4">
      <c r="B103" s="25"/>
      <c r="C103" s="23"/>
    </row>
    <row r="104" spans="2:3" ht="18.75" customHeight="1" x14ac:dyDescent="0.4">
      <c r="B104" s="25"/>
      <c r="C104" s="23"/>
    </row>
    <row r="105" spans="2:3" ht="18.75" customHeight="1" x14ac:dyDescent="0.4">
      <c r="B105" s="25"/>
      <c r="C105" s="23"/>
    </row>
    <row r="106" spans="2:3" ht="18.75" customHeight="1" x14ac:dyDescent="0.4">
      <c r="B106" s="25"/>
      <c r="C106" s="23"/>
    </row>
    <row r="107" spans="2:3" ht="18.75" customHeight="1" x14ac:dyDescent="0.4">
      <c r="B107" s="25"/>
      <c r="C107" s="23"/>
    </row>
    <row r="108" spans="2:3" ht="18.75" customHeight="1" x14ac:dyDescent="0.4">
      <c r="B108" s="25"/>
      <c r="C108" s="23"/>
    </row>
    <row r="109" spans="2:3" ht="18.75" customHeight="1" x14ac:dyDescent="0.4">
      <c r="B109" s="25"/>
      <c r="C109" s="23"/>
    </row>
    <row r="110" spans="2:3" ht="18.75" customHeight="1" x14ac:dyDescent="0.4">
      <c r="B110" s="25"/>
      <c r="C110" s="23"/>
    </row>
    <row r="111" spans="2:3" ht="18.75" customHeight="1" x14ac:dyDescent="0.4">
      <c r="B111" s="25"/>
      <c r="C111" s="23"/>
    </row>
    <row r="112" spans="2:3" ht="18.75" customHeight="1" x14ac:dyDescent="0.4">
      <c r="B112" s="25"/>
      <c r="C112" s="23"/>
    </row>
    <row r="113" spans="2:3" ht="18.75" customHeight="1" x14ac:dyDescent="0.4">
      <c r="B113" s="25"/>
      <c r="C113" s="23"/>
    </row>
    <row r="114" spans="2:3" ht="18.75" customHeight="1" x14ac:dyDescent="0.4">
      <c r="B114" s="25"/>
      <c r="C114" s="23"/>
    </row>
    <row r="115" spans="2:3" ht="18.75" customHeight="1" x14ac:dyDescent="0.4">
      <c r="B115" s="25"/>
      <c r="C115" s="23"/>
    </row>
    <row r="116" spans="2:3" ht="18.75" customHeight="1" x14ac:dyDescent="0.4">
      <c r="B116" s="25"/>
      <c r="C116" s="23"/>
    </row>
    <row r="117" spans="2:3" ht="18.75" customHeight="1" x14ac:dyDescent="0.4">
      <c r="B117" s="25"/>
      <c r="C117" s="23"/>
    </row>
    <row r="118" spans="2:3" ht="18.75" customHeight="1" x14ac:dyDescent="0.4">
      <c r="B118" s="25"/>
      <c r="C118" s="23"/>
    </row>
    <row r="119" spans="2:3" ht="18.75" customHeight="1" x14ac:dyDescent="0.4">
      <c r="B119" s="25"/>
      <c r="C119" s="23"/>
    </row>
    <row r="120" spans="2:3" ht="18.75" customHeight="1" x14ac:dyDescent="0.4">
      <c r="B120" s="25"/>
      <c r="C120" s="23"/>
    </row>
    <row r="121" spans="2:3" ht="18.75" customHeight="1" x14ac:dyDescent="0.4">
      <c r="B121" s="25"/>
      <c r="C121" s="23"/>
    </row>
    <row r="122" spans="2:3" ht="18.75" customHeight="1" x14ac:dyDescent="0.4">
      <c r="B122" s="25"/>
      <c r="C122" s="23"/>
    </row>
    <row r="123" spans="2:3" ht="18.75" customHeight="1" x14ac:dyDescent="0.4">
      <c r="B123" s="25"/>
      <c r="C123" s="23"/>
    </row>
    <row r="124" spans="2:3" ht="18.75" customHeight="1" x14ac:dyDescent="0.4">
      <c r="B124" s="25"/>
      <c r="C124" s="23"/>
    </row>
    <row r="125" spans="2:3" ht="18.75" customHeight="1" x14ac:dyDescent="0.4">
      <c r="B125" s="25"/>
      <c r="C125" s="23"/>
    </row>
    <row r="126" spans="2:3" ht="18.75" customHeight="1" x14ac:dyDescent="0.4">
      <c r="B126" s="25"/>
      <c r="C126" s="23"/>
    </row>
    <row r="127" spans="2:3" ht="18.75" customHeight="1" x14ac:dyDescent="0.4">
      <c r="B127" s="25"/>
      <c r="C127" s="23"/>
    </row>
    <row r="128" spans="2:3" ht="18.75" customHeight="1" x14ac:dyDescent="0.4">
      <c r="B128" s="25"/>
      <c r="C128" s="23"/>
    </row>
    <row r="129" spans="2:3" ht="18.75" customHeight="1" x14ac:dyDescent="0.4">
      <c r="B129" s="25"/>
      <c r="C129" s="23"/>
    </row>
    <row r="130" spans="2:3" ht="18.75" customHeight="1" x14ac:dyDescent="0.4">
      <c r="B130" s="25"/>
      <c r="C130" s="23"/>
    </row>
    <row r="131" spans="2:3" ht="18.75" customHeight="1" x14ac:dyDescent="0.4">
      <c r="B131" s="25"/>
      <c r="C131" s="23"/>
    </row>
    <row r="132" spans="2:3" ht="18.75" customHeight="1" x14ac:dyDescent="0.4">
      <c r="B132" s="25"/>
      <c r="C132" s="23"/>
    </row>
    <row r="133" spans="2:3" ht="18.75" customHeight="1" x14ac:dyDescent="0.4">
      <c r="B133" s="25"/>
      <c r="C133" s="23"/>
    </row>
    <row r="134" spans="2:3" ht="18.75" customHeight="1" x14ac:dyDescent="0.4">
      <c r="B134" s="25"/>
      <c r="C134" s="23"/>
    </row>
    <row r="135" spans="2:3" ht="18.75" customHeight="1" x14ac:dyDescent="0.4">
      <c r="B135" s="25"/>
      <c r="C135" s="23"/>
    </row>
    <row r="136" spans="2:3" ht="18.75" customHeight="1" x14ac:dyDescent="0.4">
      <c r="B136" s="25"/>
      <c r="C136" s="23"/>
    </row>
    <row r="137" spans="2:3" ht="18.75" customHeight="1" x14ac:dyDescent="0.4">
      <c r="B137" s="25"/>
      <c r="C137" s="23"/>
    </row>
    <row r="138" spans="2:3" ht="18.75" customHeight="1" x14ac:dyDescent="0.4">
      <c r="B138" s="25"/>
      <c r="C138" s="23"/>
    </row>
    <row r="139" spans="2:3" ht="18.75" customHeight="1" x14ac:dyDescent="0.4">
      <c r="B139" s="25"/>
      <c r="C139" s="23"/>
    </row>
    <row r="140" spans="2:3" ht="18.75" customHeight="1" x14ac:dyDescent="0.4">
      <c r="B140" s="25"/>
      <c r="C140" s="23"/>
    </row>
    <row r="141" spans="2:3" ht="18.75" customHeight="1" x14ac:dyDescent="0.4">
      <c r="B141" s="25"/>
      <c r="C141" s="23"/>
    </row>
    <row r="142" spans="2:3" ht="18.75" customHeight="1" x14ac:dyDescent="0.4">
      <c r="B142" s="25"/>
      <c r="C142" s="23"/>
    </row>
    <row r="143" spans="2:3" ht="18.75" customHeight="1" x14ac:dyDescent="0.4">
      <c r="B143" s="25"/>
      <c r="C143" s="23"/>
    </row>
    <row r="144" spans="2:3" ht="18.75" customHeight="1" x14ac:dyDescent="0.4">
      <c r="B144" s="25"/>
      <c r="C144" s="23"/>
    </row>
    <row r="145" spans="2:3" ht="18.75" customHeight="1" x14ac:dyDescent="0.4">
      <c r="B145" s="25"/>
      <c r="C145" s="23"/>
    </row>
    <row r="146" spans="2:3" ht="18.75" customHeight="1" x14ac:dyDescent="0.4">
      <c r="B146" s="25"/>
      <c r="C146" s="23"/>
    </row>
    <row r="147" spans="2:3" ht="18.75" customHeight="1" x14ac:dyDescent="0.4">
      <c r="B147" s="25"/>
      <c r="C147" s="23"/>
    </row>
    <row r="148" spans="2:3" ht="18.75" customHeight="1" x14ac:dyDescent="0.4">
      <c r="B148" s="25"/>
      <c r="C148" s="23"/>
    </row>
    <row r="149" spans="2:3" ht="18.75" customHeight="1" x14ac:dyDescent="0.4">
      <c r="B149" s="25"/>
      <c r="C149" s="23"/>
    </row>
    <row r="150" spans="2:3" ht="18.75" customHeight="1" x14ac:dyDescent="0.4">
      <c r="B150" s="25"/>
      <c r="C150" s="23"/>
    </row>
    <row r="151" spans="2:3" ht="18.75" customHeight="1" x14ac:dyDescent="0.4">
      <c r="B151" s="25"/>
      <c r="C151" s="23"/>
    </row>
    <row r="152" spans="2:3" ht="18.75" customHeight="1" x14ac:dyDescent="0.4">
      <c r="B152" s="25"/>
      <c r="C152" s="23"/>
    </row>
    <row r="153" spans="2:3" ht="18.75" customHeight="1" x14ac:dyDescent="0.4">
      <c r="B153" s="25"/>
      <c r="C153" s="23"/>
    </row>
    <row r="154" spans="2:3" ht="18.75" customHeight="1" x14ac:dyDescent="0.4">
      <c r="B154" s="25"/>
      <c r="C154" s="23"/>
    </row>
    <row r="155" spans="2:3" ht="18.75" customHeight="1" x14ac:dyDescent="0.4">
      <c r="B155" s="25"/>
      <c r="C155" s="23"/>
    </row>
    <row r="156" spans="2:3" ht="18.75" customHeight="1" x14ac:dyDescent="0.4">
      <c r="B156" s="25"/>
      <c r="C156" s="23"/>
    </row>
    <row r="157" spans="2:3" ht="18.75" customHeight="1" x14ac:dyDescent="0.4">
      <c r="B157" s="25"/>
      <c r="C157" s="23"/>
    </row>
    <row r="158" spans="2:3" ht="18.75" customHeight="1" x14ac:dyDescent="0.4">
      <c r="B158" s="25"/>
      <c r="C158" s="23"/>
    </row>
    <row r="159" spans="2:3" ht="18.75" customHeight="1" x14ac:dyDescent="0.4">
      <c r="B159" s="25"/>
      <c r="C159" s="23"/>
    </row>
    <row r="160" spans="2:3" ht="18.75" customHeight="1" x14ac:dyDescent="0.4">
      <c r="B160" s="25"/>
      <c r="C160" s="23"/>
    </row>
    <row r="161" spans="2:3" ht="18.75" customHeight="1" x14ac:dyDescent="0.4">
      <c r="B161" s="25"/>
      <c r="C161" s="23"/>
    </row>
    <row r="162" spans="2:3" ht="18.75" customHeight="1" x14ac:dyDescent="0.4">
      <c r="B162" s="25"/>
      <c r="C162" s="23"/>
    </row>
    <row r="163" spans="2:3" ht="18.75" customHeight="1" x14ac:dyDescent="0.4">
      <c r="B163" s="25"/>
      <c r="C163" s="23"/>
    </row>
    <row r="164" spans="2:3" ht="18.75" customHeight="1" x14ac:dyDescent="0.4">
      <c r="B164" s="25"/>
      <c r="C164" s="23"/>
    </row>
    <row r="165" spans="2:3" ht="18.75" customHeight="1" x14ac:dyDescent="0.4">
      <c r="B165" s="25"/>
      <c r="C165" s="23"/>
    </row>
    <row r="166" spans="2:3" ht="18.75" customHeight="1" x14ac:dyDescent="0.4">
      <c r="B166" s="25"/>
      <c r="C166" s="23"/>
    </row>
    <row r="167" spans="2:3" ht="18.75" customHeight="1" x14ac:dyDescent="0.4">
      <c r="B167" s="25"/>
      <c r="C167" s="23"/>
    </row>
    <row r="168" spans="2:3" ht="18.75" customHeight="1" x14ac:dyDescent="0.4">
      <c r="B168" s="25"/>
      <c r="C168" s="23"/>
    </row>
    <row r="169" spans="2:3" ht="18.75" customHeight="1" x14ac:dyDescent="0.4">
      <c r="B169" s="25"/>
      <c r="C169" s="23"/>
    </row>
    <row r="170" spans="2:3" ht="18.75" customHeight="1" x14ac:dyDescent="0.4">
      <c r="B170" s="25"/>
      <c r="C170" s="23"/>
    </row>
    <row r="171" spans="2:3" ht="18.75" customHeight="1" x14ac:dyDescent="0.4">
      <c r="B171" s="25"/>
      <c r="C171" s="23"/>
    </row>
    <row r="172" spans="2:3" ht="18.75" customHeight="1" x14ac:dyDescent="0.4">
      <c r="B172" s="25"/>
      <c r="C172" s="23"/>
    </row>
    <row r="173" spans="2:3" ht="18.75" customHeight="1" x14ac:dyDescent="0.4">
      <c r="B173" s="25"/>
      <c r="C173" s="23"/>
    </row>
    <row r="174" spans="2:3" ht="18.75" customHeight="1" x14ac:dyDescent="0.4">
      <c r="B174" s="25"/>
      <c r="C174" s="23"/>
    </row>
    <row r="175" spans="2:3" ht="18.75" customHeight="1" x14ac:dyDescent="0.4">
      <c r="B175" s="25"/>
      <c r="C175" s="23"/>
    </row>
    <row r="176" spans="2:3" ht="18.75" customHeight="1" x14ac:dyDescent="0.4">
      <c r="B176" s="25"/>
      <c r="C176" s="23"/>
    </row>
    <row r="177" spans="2:3" ht="18.75" customHeight="1" x14ac:dyDescent="0.4">
      <c r="B177" s="25"/>
      <c r="C177" s="23"/>
    </row>
    <row r="178" spans="2:3" ht="18.75" customHeight="1" x14ac:dyDescent="0.4">
      <c r="B178" s="25"/>
      <c r="C178" s="23"/>
    </row>
    <row r="179" spans="2:3" ht="18.75" customHeight="1" x14ac:dyDescent="0.4">
      <c r="B179" s="25"/>
      <c r="C179" s="23"/>
    </row>
    <row r="180" spans="2:3" ht="18.75" customHeight="1" x14ac:dyDescent="0.4">
      <c r="B180" s="25"/>
      <c r="C180" s="23"/>
    </row>
    <row r="181" spans="2:3" ht="18.75" customHeight="1" x14ac:dyDescent="0.4">
      <c r="B181" s="25"/>
      <c r="C181" s="23"/>
    </row>
    <row r="182" spans="2:3" ht="18.75" customHeight="1" x14ac:dyDescent="0.4">
      <c r="B182" s="25"/>
      <c r="C182" s="23"/>
    </row>
    <row r="183" spans="2:3" ht="18.75" customHeight="1" x14ac:dyDescent="0.4">
      <c r="B183" s="25"/>
      <c r="C183" s="23"/>
    </row>
    <row r="184" spans="2:3" ht="18.75" customHeight="1" x14ac:dyDescent="0.4">
      <c r="B184" s="25"/>
      <c r="C184" s="23"/>
    </row>
    <row r="185" spans="2:3" ht="18.75" customHeight="1" x14ac:dyDescent="0.4">
      <c r="B185" s="25"/>
      <c r="C185" s="23"/>
    </row>
    <row r="186" spans="2:3" ht="18.75" customHeight="1" x14ac:dyDescent="0.4">
      <c r="B186" s="25"/>
      <c r="C186" s="23"/>
    </row>
    <row r="187" spans="2:3" ht="18.75" customHeight="1" x14ac:dyDescent="0.4">
      <c r="B187" s="25"/>
      <c r="C187" s="23"/>
    </row>
    <row r="188" spans="2:3" ht="18.75" customHeight="1" x14ac:dyDescent="0.4">
      <c r="B188" s="25"/>
      <c r="C188" s="23"/>
    </row>
    <row r="189" spans="2:3" ht="18.75" customHeight="1" x14ac:dyDescent="0.4">
      <c r="B189" s="25"/>
      <c r="C189" s="23"/>
    </row>
    <row r="190" spans="2:3" ht="18.75" customHeight="1" x14ac:dyDescent="0.4">
      <c r="B190" s="25"/>
      <c r="C190" s="23"/>
    </row>
    <row r="191" spans="2:3" ht="18.75" customHeight="1" x14ac:dyDescent="0.4">
      <c r="B191" s="25"/>
      <c r="C191" s="23"/>
    </row>
    <row r="192" spans="2:3" ht="18.75" customHeight="1" x14ac:dyDescent="0.4">
      <c r="B192" s="25"/>
      <c r="C192" s="23"/>
    </row>
    <row r="193" spans="2:3" ht="18.75" customHeight="1" x14ac:dyDescent="0.4">
      <c r="B193" s="25"/>
      <c r="C193" s="23"/>
    </row>
    <row r="194" spans="2:3" ht="18.75" customHeight="1" x14ac:dyDescent="0.4">
      <c r="B194" s="25"/>
      <c r="C194" s="23"/>
    </row>
    <row r="195" spans="2:3" ht="18.75" customHeight="1" x14ac:dyDescent="0.4">
      <c r="B195" s="25"/>
      <c r="C195" s="23"/>
    </row>
    <row r="196" spans="2:3" ht="18.75" customHeight="1" x14ac:dyDescent="0.4">
      <c r="B196" s="25"/>
      <c r="C196" s="23"/>
    </row>
    <row r="197" spans="2:3" ht="18.75" customHeight="1" x14ac:dyDescent="0.4">
      <c r="B197" s="25"/>
      <c r="C197" s="23"/>
    </row>
    <row r="198" spans="2:3" ht="18.75" customHeight="1" x14ac:dyDescent="0.4">
      <c r="B198" s="25"/>
      <c r="C198" s="23"/>
    </row>
    <row r="199" spans="2:3" ht="18.75" customHeight="1" x14ac:dyDescent="0.4">
      <c r="B199" s="25"/>
      <c r="C199" s="23"/>
    </row>
    <row r="200" spans="2:3" ht="18.75" customHeight="1" x14ac:dyDescent="0.4">
      <c r="B200" s="25"/>
      <c r="C200" s="23"/>
    </row>
    <row r="201" spans="2:3" ht="18.75" customHeight="1" x14ac:dyDescent="0.4">
      <c r="B201" s="25"/>
      <c r="C201" s="23"/>
    </row>
    <row r="202" spans="2:3" ht="18.75" customHeight="1" x14ac:dyDescent="0.4">
      <c r="B202" s="25"/>
      <c r="C202" s="23"/>
    </row>
    <row r="203" spans="2:3" ht="18.75" customHeight="1" x14ac:dyDescent="0.4">
      <c r="B203" s="25"/>
      <c r="C203" s="23"/>
    </row>
    <row r="204" spans="2:3" ht="18.75" customHeight="1" x14ac:dyDescent="0.4">
      <c r="B204" s="25"/>
      <c r="C204" s="23"/>
    </row>
    <row r="205" spans="2:3" ht="18.75" customHeight="1" x14ac:dyDescent="0.4">
      <c r="B205" s="25"/>
      <c r="C205" s="23"/>
    </row>
    <row r="206" spans="2:3" ht="18.75" customHeight="1" x14ac:dyDescent="0.4">
      <c r="B206" s="25"/>
      <c r="C206" s="23"/>
    </row>
    <row r="207" spans="2:3" ht="18.75" customHeight="1" x14ac:dyDescent="0.4">
      <c r="B207" s="25"/>
      <c r="C207" s="23"/>
    </row>
    <row r="208" spans="2:3" ht="18.75" customHeight="1" x14ac:dyDescent="0.4">
      <c r="B208" s="25"/>
      <c r="C208" s="23"/>
    </row>
    <row r="209" spans="2:3" ht="18.75" customHeight="1" x14ac:dyDescent="0.4">
      <c r="B209" s="25"/>
      <c r="C209" s="23"/>
    </row>
    <row r="210" spans="2:3" ht="18.75" customHeight="1" x14ac:dyDescent="0.4">
      <c r="B210" s="25"/>
      <c r="C210" s="23"/>
    </row>
    <row r="211" spans="2:3" ht="18.75" customHeight="1" x14ac:dyDescent="0.4">
      <c r="B211" s="25"/>
      <c r="C211" s="23"/>
    </row>
    <row r="212" spans="2:3" ht="18.75" customHeight="1" x14ac:dyDescent="0.4">
      <c r="B212" s="25"/>
      <c r="C212" s="23"/>
    </row>
    <row r="213" spans="2:3" ht="18.75" customHeight="1" x14ac:dyDescent="0.4">
      <c r="B213" s="25"/>
      <c r="C213" s="23"/>
    </row>
    <row r="214" spans="2:3" ht="18.75" customHeight="1" x14ac:dyDescent="0.4">
      <c r="B214" s="25"/>
      <c r="C214" s="23"/>
    </row>
    <row r="215" spans="2:3" ht="18.75" customHeight="1" x14ac:dyDescent="0.4">
      <c r="B215" s="25"/>
      <c r="C215" s="23"/>
    </row>
    <row r="216" spans="2:3" ht="18.75" customHeight="1" x14ac:dyDescent="0.4">
      <c r="B216" s="25"/>
      <c r="C216" s="23"/>
    </row>
    <row r="217" spans="2:3" ht="18.75" customHeight="1" x14ac:dyDescent="0.4">
      <c r="B217" s="25"/>
      <c r="C217" s="23"/>
    </row>
    <row r="218" spans="2:3" ht="18.75" customHeight="1" x14ac:dyDescent="0.4">
      <c r="B218" s="25"/>
      <c r="C218" s="23"/>
    </row>
    <row r="219" spans="2:3" ht="18.75" customHeight="1" x14ac:dyDescent="0.4">
      <c r="B219" s="25"/>
      <c r="C219" s="23"/>
    </row>
    <row r="220" spans="2:3" ht="18.75" customHeight="1" x14ac:dyDescent="0.4">
      <c r="B220" s="25"/>
      <c r="C220" s="23"/>
    </row>
    <row r="221" spans="2:3" ht="18.75" customHeight="1" x14ac:dyDescent="0.4">
      <c r="B221" s="25"/>
      <c r="C221" s="23"/>
    </row>
    <row r="222" spans="2:3" ht="18.75" customHeight="1" x14ac:dyDescent="0.4">
      <c r="B222" s="25"/>
      <c r="C222" s="23"/>
    </row>
    <row r="223" spans="2:3" ht="18.75" customHeight="1" x14ac:dyDescent="0.4">
      <c r="B223" s="25"/>
      <c r="C223" s="23"/>
    </row>
    <row r="224" spans="2:3" ht="18.75" customHeight="1" x14ac:dyDescent="0.4">
      <c r="B224" s="25"/>
      <c r="C224" s="23"/>
    </row>
    <row r="225" spans="2:3" ht="18.75" customHeight="1" x14ac:dyDescent="0.4">
      <c r="B225" s="25"/>
      <c r="C225" s="23"/>
    </row>
    <row r="226" spans="2:3" ht="18.75" customHeight="1" x14ac:dyDescent="0.4">
      <c r="B226" s="25"/>
      <c r="C226" s="23"/>
    </row>
    <row r="227" spans="2:3" ht="18.75" customHeight="1" x14ac:dyDescent="0.4">
      <c r="B227" s="25"/>
      <c r="C227" s="23"/>
    </row>
    <row r="228" spans="2:3" ht="18.75" customHeight="1" x14ac:dyDescent="0.4">
      <c r="B228" s="25"/>
      <c r="C228" s="23"/>
    </row>
    <row r="229" spans="2:3" ht="18.75" customHeight="1" x14ac:dyDescent="0.4">
      <c r="B229" s="25"/>
      <c r="C229" s="23"/>
    </row>
    <row r="230" spans="2:3" ht="18.75" customHeight="1" x14ac:dyDescent="0.4">
      <c r="B230" s="25"/>
      <c r="C230" s="23"/>
    </row>
    <row r="231" spans="2:3" ht="18.75" customHeight="1" x14ac:dyDescent="0.4">
      <c r="B231" s="25"/>
      <c r="C231" s="23"/>
    </row>
    <row r="232" spans="2:3" ht="18.75" customHeight="1" x14ac:dyDescent="0.4">
      <c r="B232" s="25"/>
      <c r="C232" s="23"/>
    </row>
    <row r="233" spans="2:3" ht="18.75" customHeight="1" x14ac:dyDescent="0.4">
      <c r="B233" s="25"/>
      <c r="C233" s="23"/>
    </row>
    <row r="234" spans="2:3" ht="18.75" customHeight="1" x14ac:dyDescent="0.4">
      <c r="B234" s="25"/>
      <c r="C234" s="23"/>
    </row>
    <row r="235" spans="2:3" ht="18.75" customHeight="1" x14ac:dyDescent="0.4">
      <c r="B235" s="25"/>
      <c r="C235" s="23"/>
    </row>
    <row r="236" spans="2:3" ht="18.75" customHeight="1" x14ac:dyDescent="0.4">
      <c r="B236" s="25"/>
      <c r="C236" s="23"/>
    </row>
    <row r="237" spans="2:3" ht="18.75" customHeight="1" x14ac:dyDescent="0.4">
      <c r="B237" s="25"/>
      <c r="C237" s="23"/>
    </row>
    <row r="238" spans="2:3" ht="18.75" customHeight="1" x14ac:dyDescent="0.4">
      <c r="B238" s="25"/>
      <c r="C238" s="23"/>
    </row>
    <row r="239" spans="2:3" ht="18.75" customHeight="1" x14ac:dyDescent="0.4">
      <c r="B239" s="25"/>
      <c r="C239" s="23"/>
    </row>
    <row r="240" spans="2:3" ht="18.75" customHeight="1" x14ac:dyDescent="0.4">
      <c r="B240" s="25"/>
      <c r="C240" s="23"/>
    </row>
    <row r="241" spans="2:3" ht="18.75" customHeight="1" x14ac:dyDescent="0.4">
      <c r="B241" s="25"/>
      <c r="C241" s="23"/>
    </row>
    <row r="242" spans="2:3" ht="18.75" customHeight="1" x14ac:dyDescent="0.4">
      <c r="B242" s="25"/>
      <c r="C242" s="23"/>
    </row>
    <row r="243" spans="2:3" ht="18.75" customHeight="1" x14ac:dyDescent="0.4">
      <c r="B243" s="25"/>
      <c r="C243" s="23"/>
    </row>
    <row r="244" spans="2:3" ht="18.75" customHeight="1" x14ac:dyDescent="0.4">
      <c r="B244" s="25"/>
      <c r="C244" s="23"/>
    </row>
    <row r="245" spans="2:3" ht="18.75" customHeight="1" x14ac:dyDescent="0.4">
      <c r="B245" s="25"/>
      <c r="C245" s="23"/>
    </row>
    <row r="246" spans="2:3" ht="18.75" customHeight="1" x14ac:dyDescent="0.4">
      <c r="B246" s="25"/>
      <c r="C246" s="23"/>
    </row>
    <row r="247" spans="2:3" ht="18.75" customHeight="1" x14ac:dyDescent="0.4">
      <c r="B247" s="25"/>
      <c r="C247" s="23"/>
    </row>
    <row r="248" spans="2:3" ht="18.75" customHeight="1" x14ac:dyDescent="0.4">
      <c r="B248" s="25"/>
      <c r="C248" s="23"/>
    </row>
    <row r="249" spans="2:3" ht="18.75" customHeight="1" x14ac:dyDescent="0.4">
      <c r="B249" s="25"/>
      <c r="C249" s="23"/>
    </row>
    <row r="250" spans="2:3" ht="18.75" customHeight="1" x14ac:dyDescent="0.4">
      <c r="B250" s="25"/>
      <c r="C250" s="23"/>
    </row>
    <row r="251" spans="2:3" ht="18.75" customHeight="1" x14ac:dyDescent="0.4">
      <c r="B251" s="25"/>
      <c r="C251" s="23"/>
    </row>
    <row r="252" spans="2:3" ht="18.75" customHeight="1" x14ac:dyDescent="0.4">
      <c r="B252" s="25"/>
      <c r="C252" s="23"/>
    </row>
    <row r="253" spans="2:3" ht="18.75" customHeight="1" x14ac:dyDescent="0.4">
      <c r="B253" s="25"/>
      <c r="C253" s="23"/>
    </row>
    <row r="254" spans="2:3" ht="18.75" customHeight="1" x14ac:dyDescent="0.4">
      <c r="B254" s="25"/>
      <c r="C254" s="23"/>
    </row>
    <row r="255" spans="2:3" ht="18.75" customHeight="1" x14ac:dyDescent="0.4">
      <c r="B255" s="25"/>
      <c r="C255" s="23"/>
    </row>
    <row r="256" spans="2:3" ht="18.75" customHeight="1" x14ac:dyDescent="0.4">
      <c r="B256" s="25"/>
      <c r="C256" s="23"/>
    </row>
    <row r="257" spans="2:3" ht="18.75" customHeight="1" x14ac:dyDescent="0.4">
      <c r="B257" s="25"/>
      <c r="C257" s="23"/>
    </row>
    <row r="258" spans="2:3" ht="18.75" customHeight="1" x14ac:dyDescent="0.4">
      <c r="B258" s="25"/>
      <c r="C258" s="23"/>
    </row>
    <row r="259" spans="2:3" ht="18.75" customHeight="1" x14ac:dyDescent="0.4">
      <c r="B259" s="25"/>
      <c r="C259" s="23"/>
    </row>
    <row r="260" spans="2:3" ht="18.75" customHeight="1" x14ac:dyDescent="0.4">
      <c r="B260" s="25"/>
      <c r="C260" s="23"/>
    </row>
    <row r="261" spans="2:3" ht="18.75" customHeight="1" x14ac:dyDescent="0.4">
      <c r="B261" s="25"/>
      <c r="C261" s="23"/>
    </row>
    <row r="262" spans="2:3" ht="18.75" customHeight="1" x14ac:dyDescent="0.4">
      <c r="B262" s="25"/>
      <c r="C262" s="23"/>
    </row>
    <row r="263" spans="2:3" ht="18.75" customHeight="1" x14ac:dyDescent="0.4">
      <c r="B263" s="25"/>
      <c r="C263" s="23"/>
    </row>
    <row r="264" spans="2:3" ht="18.75" customHeight="1" x14ac:dyDescent="0.4">
      <c r="B264" s="25"/>
      <c r="C264" s="23"/>
    </row>
    <row r="265" spans="2:3" ht="18.75" customHeight="1" x14ac:dyDescent="0.4">
      <c r="B265" s="25"/>
      <c r="C265" s="23"/>
    </row>
    <row r="266" spans="2:3" ht="18.75" customHeight="1" x14ac:dyDescent="0.4">
      <c r="B266" s="25"/>
      <c r="C266" s="23"/>
    </row>
    <row r="267" spans="2:3" ht="18.75" customHeight="1" x14ac:dyDescent="0.4">
      <c r="B267" s="25"/>
      <c r="C267" s="23"/>
    </row>
    <row r="268" spans="2:3" ht="18.75" customHeight="1" x14ac:dyDescent="0.4">
      <c r="B268" s="25"/>
      <c r="C268" s="23"/>
    </row>
    <row r="269" spans="2:3" ht="18.75" customHeight="1" x14ac:dyDescent="0.4">
      <c r="B269" s="25"/>
      <c r="C269" s="23"/>
    </row>
    <row r="270" spans="2:3" ht="18.75" customHeight="1" x14ac:dyDescent="0.4">
      <c r="B270" s="25"/>
      <c r="C270" s="23"/>
    </row>
    <row r="271" spans="2:3" ht="18.75" customHeight="1" x14ac:dyDescent="0.4">
      <c r="B271" s="25"/>
      <c r="C271" s="23"/>
    </row>
    <row r="272" spans="2:3" ht="18.75" customHeight="1" x14ac:dyDescent="0.4">
      <c r="B272" s="25"/>
      <c r="C272" s="23"/>
    </row>
    <row r="273" spans="2:3" ht="18.75" customHeight="1" x14ac:dyDescent="0.4">
      <c r="B273" s="25"/>
      <c r="C273" s="23"/>
    </row>
    <row r="274" spans="2:3" ht="18.75" customHeight="1" x14ac:dyDescent="0.4">
      <c r="B274" s="25"/>
      <c r="C274" s="23"/>
    </row>
    <row r="275" spans="2:3" ht="18.75" customHeight="1" x14ac:dyDescent="0.4">
      <c r="B275" s="25"/>
      <c r="C275" s="23"/>
    </row>
    <row r="276" spans="2:3" ht="18.75" customHeight="1" x14ac:dyDescent="0.4">
      <c r="B276" s="25"/>
      <c r="C276" s="23"/>
    </row>
    <row r="277" spans="2:3" ht="18.75" customHeight="1" x14ac:dyDescent="0.4">
      <c r="B277" s="25"/>
      <c r="C277" s="23"/>
    </row>
    <row r="278" spans="2:3" ht="18.75" customHeight="1" x14ac:dyDescent="0.4">
      <c r="B278" s="25"/>
      <c r="C278" s="23"/>
    </row>
    <row r="279" spans="2:3" ht="18.75" customHeight="1" x14ac:dyDescent="0.4">
      <c r="B279" s="25"/>
      <c r="C279" s="23"/>
    </row>
    <row r="280" spans="2:3" ht="18.75" customHeight="1" x14ac:dyDescent="0.4">
      <c r="B280" s="25"/>
      <c r="C280" s="23"/>
    </row>
    <row r="281" spans="2:3" ht="18.75" customHeight="1" x14ac:dyDescent="0.4">
      <c r="B281" s="25"/>
      <c r="C281" s="23"/>
    </row>
    <row r="282" spans="2:3" ht="18.75" customHeight="1" x14ac:dyDescent="0.4">
      <c r="B282" s="25"/>
      <c r="C282" s="23"/>
    </row>
    <row r="283" spans="2:3" ht="18.75" customHeight="1" x14ac:dyDescent="0.4">
      <c r="B283" s="25"/>
      <c r="C283" s="23"/>
    </row>
    <row r="284" spans="2:3" ht="18.75" customHeight="1" x14ac:dyDescent="0.4">
      <c r="B284" s="25"/>
      <c r="C284" s="23"/>
    </row>
    <row r="285" spans="2:3" ht="18.75" customHeight="1" x14ac:dyDescent="0.4">
      <c r="B285" s="25"/>
      <c r="C285" s="23"/>
    </row>
    <row r="286" spans="2:3" ht="18.75" customHeight="1" x14ac:dyDescent="0.4">
      <c r="B286" s="25"/>
      <c r="C286" s="23"/>
    </row>
    <row r="287" spans="2:3" ht="18.75" customHeight="1" x14ac:dyDescent="0.4">
      <c r="B287" s="25"/>
      <c r="C287" s="23"/>
    </row>
    <row r="288" spans="2:3" ht="18.75" customHeight="1" x14ac:dyDescent="0.4">
      <c r="B288" s="25"/>
      <c r="C288" s="23"/>
    </row>
    <row r="289" spans="2:3" ht="18.75" customHeight="1" x14ac:dyDescent="0.4">
      <c r="B289" s="25"/>
      <c r="C289" s="23"/>
    </row>
    <row r="290" spans="2:3" ht="18.75" customHeight="1" x14ac:dyDescent="0.4">
      <c r="B290" s="25"/>
      <c r="C290" s="23"/>
    </row>
    <row r="291" spans="2:3" ht="18.75" customHeight="1" x14ac:dyDescent="0.4">
      <c r="B291" s="25"/>
      <c r="C291" s="23"/>
    </row>
    <row r="292" spans="2:3" ht="18.75" customHeight="1" x14ac:dyDescent="0.4">
      <c r="B292" s="25"/>
      <c r="C292" s="23"/>
    </row>
    <row r="293" spans="2:3" ht="18.75" customHeight="1" x14ac:dyDescent="0.4">
      <c r="B293" s="25"/>
      <c r="C293" s="23"/>
    </row>
    <row r="294" spans="2:3" ht="18.75" customHeight="1" x14ac:dyDescent="0.4">
      <c r="B294" s="25"/>
      <c r="C294" s="23"/>
    </row>
    <row r="295" spans="2:3" ht="18.75" customHeight="1" x14ac:dyDescent="0.4">
      <c r="B295" s="25"/>
      <c r="C295" s="23"/>
    </row>
    <row r="296" spans="2:3" ht="18.75" customHeight="1" x14ac:dyDescent="0.4">
      <c r="B296" s="25"/>
      <c r="C296" s="23"/>
    </row>
    <row r="297" spans="2:3" ht="18.75" customHeight="1" x14ac:dyDescent="0.4">
      <c r="B297" s="25"/>
      <c r="C297" s="23"/>
    </row>
    <row r="298" spans="2:3" ht="18.75" customHeight="1" x14ac:dyDescent="0.4">
      <c r="B298" s="25"/>
      <c r="C298" s="23"/>
    </row>
    <row r="299" spans="2:3" ht="18.75" customHeight="1" x14ac:dyDescent="0.4">
      <c r="B299" s="25"/>
      <c r="C299" s="23"/>
    </row>
    <row r="300" spans="2:3" ht="18.75" customHeight="1" x14ac:dyDescent="0.4">
      <c r="B300" s="25"/>
      <c r="C300" s="23"/>
    </row>
    <row r="301" spans="2:3" ht="18.75" customHeight="1" x14ac:dyDescent="0.4">
      <c r="B301" s="25"/>
      <c r="C301" s="23"/>
    </row>
    <row r="302" spans="2:3" ht="18.75" customHeight="1" x14ac:dyDescent="0.4">
      <c r="B302" s="25"/>
      <c r="C302" s="23"/>
    </row>
    <row r="303" spans="2:3" ht="18.75" customHeight="1" x14ac:dyDescent="0.4">
      <c r="B303" s="25"/>
      <c r="C303" s="23"/>
    </row>
    <row r="304" spans="2:3" ht="18.75" customHeight="1" x14ac:dyDescent="0.4">
      <c r="B304" s="25"/>
      <c r="C304" s="23"/>
    </row>
    <row r="305" spans="2:3" ht="18.75" customHeight="1" x14ac:dyDescent="0.4">
      <c r="B305" s="25"/>
      <c r="C305" s="23"/>
    </row>
    <row r="306" spans="2:3" ht="18.75" customHeight="1" x14ac:dyDescent="0.4">
      <c r="B306" s="25"/>
      <c r="C306" s="23"/>
    </row>
    <row r="307" spans="2:3" ht="18.75" customHeight="1" x14ac:dyDescent="0.4">
      <c r="B307" s="25"/>
      <c r="C307" s="23"/>
    </row>
    <row r="308" spans="2:3" ht="18.75" customHeight="1" x14ac:dyDescent="0.4">
      <c r="B308" s="25"/>
      <c r="C308" s="23"/>
    </row>
    <row r="309" spans="2:3" ht="18.75" customHeight="1" x14ac:dyDescent="0.4">
      <c r="B309" s="25"/>
      <c r="C309" s="23"/>
    </row>
    <row r="310" spans="2:3" ht="18.75" customHeight="1" x14ac:dyDescent="0.4">
      <c r="B310" s="25"/>
      <c r="C310" s="23"/>
    </row>
    <row r="311" spans="2:3" ht="18.75" customHeight="1" x14ac:dyDescent="0.4">
      <c r="B311" s="25"/>
      <c r="C311" s="23"/>
    </row>
    <row r="312" spans="2:3" ht="18.75" customHeight="1" x14ac:dyDescent="0.4">
      <c r="B312" s="25"/>
      <c r="C312" s="23"/>
    </row>
    <row r="313" spans="2:3" ht="18.75" customHeight="1" x14ac:dyDescent="0.4">
      <c r="B313" s="25"/>
      <c r="C313" s="23"/>
    </row>
    <row r="314" spans="2:3" ht="18.75" customHeight="1" x14ac:dyDescent="0.4">
      <c r="B314" s="25"/>
      <c r="C314" s="23"/>
    </row>
    <row r="315" spans="2:3" ht="18.75" customHeight="1" x14ac:dyDescent="0.4">
      <c r="B315" s="25"/>
      <c r="C315" s="23"/>
    </row>
    <row r="316" spans="2:3" ht="18.75" customHeight="1" x14ac:dyDescent="0.4">
      <c r="B316" s="25"/>
      <c r="C316" s="23"/>
    </row>
    <row r="317" spans="2:3" ht="18.75" customHeight="1" x14ac:dyDescent="0.4">
      <c r="B317" s="25"/>
      <c r="C317" s="23"/>
    </row>
    <row r="318" spans="2:3" ht="18.75" customHeight="1" x14ac:dyDescent="0.4">
      <c r="B318" s="25"/>
      <c r="C318" s="23"/>
    </row>
    <row r="319" spans="2:3" ht="18.75" customHeight="1" x14ac:dyDescent="0.4">
      <c r="B319" s="25"/>
      <c r="C319" s="23"/>
    </row>
    <row r="320" spans="2:3" ht="18.75" customHeight="1" x14ac:dyDescent="0.4">
      <c r="B320" s="25"/>
      <c r="C320" s="23"/>
    </row>
    <row r="321" spans="2:3" ht="18.75" customHeight="1" x14ac:dyDescent="0.4">
      <c r="B321" s="25"/>
      <c r="C321" s="23"/>
    </row>
    <row r="322" spans="2:3" ht="18.75" customHeight="1" x14ac:dyDescent="0.4">
      <c r="B322" s="25"/>
      <c r="C322" s="23"/>
    </row>
    <row r="323" spans="2:3" ht="18.75" customHeight="1" x14ac:dyDescent="0.4">
      <c r="B323" s="25"/>
      <c r="C323" s="23"/>
    </row>
    <row r="324" spans="2:3" ht="18.75" customHeight="1" x14ac:dyDescent="0.4">
      <c r="B324" s="25"/>
      <c r="C324" s="23"/>
    </row>
    <row r="325" spans="2:3" ht="18.75" customHeight="1" x14ac:dyDescent="0.4">
      <c r="B325" s="25"/>
      <c r="C325" s="23"/>
    </row>
    <row r="326" spans="2:3" ht="18.75" customHeight="1" x14ac:dyDescent="0.4">
      <c r="B326" s="25"/>
      <c r="C326" s="23"/>
    </row>
    <row r="327" spans="2:3" ht="18.75" customHeight="1" x14ac:dyDescent="0.4">
      <c r="B327" s="25"/>
      <c r="C327" s="23"/>
    </row>
    <row r="328" spans="2:3" ht="18.75" customHeight="1" x14ac:dyDescent="0.4">
      <c r="B328" s="25"/>
      <c r="C328" s="23"/>
    </row>
    <row r="329" spans="2:3" ht="18.75" customHeight="1" x14ac:dyDescent="0.4">
      <c r="B329" s="25"/>
      <c r="C329" s="23"/>
    </row>
    <row r="330" spans="2:3" ht="18.75" customHeight="1" x14ac:dyDescent="0.4">
      <c r="B330" s="25"/>
      <c r="C330" s="23"/>
    </row>
    <row r="331" spans="2:3" ht="18.75" customHeight="1" x14ac:dyDescent="0.4">
      <c r="B331" s="25"/>
      <c r="C331" s="23"/>
    </row>
    <row r="332" spans="2:3" ht="18.75" customHeight="1" x14ac:dyDescent="0.4">
      <c r="B332" s="25"/>
      <c r="C332" s="23"/>
    </row>
    <row r="333" spans="2:3" ht="18.75" customHeight="1" x14ac:dyDescent="0.4">
      <c r="B333" s="25"/>
      <c r="C333" s="23"/>
    </row>
    <row r="334" spans="2:3" ht="18.75" customHeight="1" x14ac:dyDescent="0.4">
      <c r="B334" s="25"/>
      <c r="C334" s="23"/>
    </row>
    <row r="335" spans="2:3" ht="18.75" customHeight="1" x14ac:dyDescent="0.4">
      <c r="B335" s="25"/>
      <c r="C335" s="23"/>
    </row>
    <row r="336" spans="2:3" ht="18.75" customHeight="1" x14ac:dyDescent="0.4">
      <c r="B336" s="25"/>
      <c r="C336" s="23"/>
    </row>
    <row r="337" spans="2:3" ht="18.75" customHeight="1" x14ac:dyDescent="0.4">
      <c r="B337" s="25"/>
      <c r="C337" s="23"/>
    </row>
    <row r="338" spans="2:3" ht="18.75" customHeight="1" x14ac:dyDescent="0.4">
      <c r="B338" s="25"/>
      <c r="C338" s="23"/>
    </row>
    <row r="339" spans="2:3" ht="18.75" customHeight="1" x14ac:dyDescent="0.4">
      <c r="B339" s="25"/>
      <c r="C339" s="23"/>
    </row>
    <row r="340" spans="2:3" ht="18.75" customHeight="1" x14ac:dyDescent="0.4">
      <c r="B340" s="25"/>
      <c r="C340" s="23"/>
    </row>
    <row r="341" spans="2:3" ht="18.75" customHeight="1" x14ac:dyDescent="0.4">
      <c r="B341" s="25"/>
      <c r="C341" s="23"/>
    </row>
    <row r="342" spans="2:3" ht="18.75" customHeight="1" x14ac:dyDescent="0.4">
      <c r="B342" s="25"/>
      <c r="C342" s="23"/>
    </row>
    <row r="343" spans="2:3" ht="18.75" customHeight="1" x14ac:dyDescent="0.4">
      <c r="B343" s="25"/>
      <c r="C343" s="23"/>
    </row>
    <row r="344" spans="2:3" ht="18.75" customHeight="1" x14ac:dyDescent="0.4">
      <c r="B344" s="25"/>
      <c r="C344" s="23"/>
    </row>
    <row r="345" spans="2:3" ht="18.75" customHeight="1" x14ac:dyDescent="0.4">
      <c r="B345" s="25"/>
      <c r="C345" s="23"/>
    </row>
    <row r="346" spans="2:3" ht="18.75" customHeight="1" x14ac:dyDescent="0.4">
      <c r="B346" s="25"/>
      <c r="C346" s="23"/>
    </row>
    <row r="347" spans="2:3" ht="18.75" customHeight="1" x14ac:dyDescent="0.4">
      <c r="B347" s="25"/>
      <c r="C347" s="23"/>
    </row>
    <row r="348" spans="2:3" ht="18.75" customHeight="1" x14ac:dyDescent="0.4">
      <c r="B348" s="25"/>
      <c r="C348" s="23"/>
    </row>
    <row r="349" spans="2:3" ht="18.75" customHeight="1" x14ac:dyDescent="0.4">
      <c r="B349" s="25"/>
      <c r="C349" s="23"/>
    </row>
    <row r="350" spans="2:3" ht="18.75" customHeight="1" x14ac:dyDescent="0.4">
      <c r="B350" s="25"/>
      <c r="C350" s="23"/>
    </row>
    <row r="351" spans="2:3" ht="18.75" customHeight="1" x14ac:dyDescent="0.4">
      <c r="B351" s="25"/>
      <c r="C351" s="23"/>
    </row>
    <row r="352" spans="2:3" ht="18.75" customHeight="1" x14ac:dyDescent="0.4">
      <c r="B352" s="25"/>
      <c r="C352" s="23"/>
    </row>
    <row r="353" spans="2:3" ht="18.75" customHeight="1" x14ac:dyDescent="0.4">
      <c r="B353" s="25"/>
      <c r="C353" s="23"/>
    </row>
    <row r="354" spans="2:3" ht="18.75" customHeight="1" x14ac:dyDescent="0.4">
      <c r="B354" s="25"/>
      <c r="C354" s="23"/>
    </row>
    <row r="355" spans="2:3" ht="18.75" customHeight="1" x14ac:dyDescent="0.4">
      <c r="B355" s="25"/>
      <c r="C355" s="23"/>
    </row>
    <row r="356" spans="2:3" ht="18.75" customHeight="1" x14ac:dyDescent="0.4">
      <c r="B356" s="25"/>
      <c r="C356" s="23"/>
    </row>
    <row r="357" spans="2:3" ht="18.75" customHeight="1" x14ac:dyDescent="0.4">
      <c r="B357" s="25"/>
      <c r="C357" s="23"/>
    </row>
    <row r="358" spans="2:3" ht="18.75" customHeight="1" x14ac:dyDescent="0.4">
      <c r="B358" s="25"/>
      <c r="C358" s="23"/>
    </row>
    <row r="359" spans="2:3" ht="18.75" customHeight="1" x14ac:dyDescent="0.4">
      <c r="B359" s="25"/>
      <c r="C359" s="23"/>
    </row>
    <row r="360" spans="2:3" ht="18.75" customHeight="1" x14ac:dyDescent="0.4">
      <c r="B360" s="25"/>
      <c r="C360" s="23"/>
    </row>
    <row r="361" spans="2:3" ht="18.75" customHeight="1" x14ac:dyDescent="0.4">
      <c r="B361" s="25"/>
      <c r="C361" s="23"/>
    </row>
    <row r="362" spans="2:3" ht="18.75" customHeight="1" x14ac:dyDescent="0.4">
      <c r="B362" s="25"/>
      <c r="C362" s="23"/>
    </row>
    <row r="363" spans="2:3" ht="18.75" customHeight="1" x14ac:dyDescent="0.4">
      <c r="B363" s="25"/>
      <c r="C363" s="23"/>
    </row>
    <row r="364" spans="2:3" ht="18.75" customHeight="1" x14ac:dyDescent="0.4">
      <c r="B364" s="25"/>
      <c r="C364" s="23"/>
    </row>
    <row r="365" spans="2:3" ht="18.75" customHeight="1" x14ac:dyDescent="0.4">
      <c r="B365" s="25"/>
      <c r="C365" s="23"/>
    </row>
    <row r="366" spans="2:3" ht="18.75" customHeight="1" x14ac:dyDescent="0.4">
      <c r="B366" s="25"/>
      <c r="C366" s="23"/>
    </row>
    <row r="367" spans="2:3" ht="18.75" customHeight="1" x14ac:dyDescent="0.4">
      <c r="B367" s="25"/>
      <c r="C367" s="23"/>
    </row>
    <row r="368" spans="2:3" ht="18.75" customHeight="1" x14ac:dyDescent="0.4">
      <c r="B368" s="25"/>
      <c r="C368" s="23"/>
    </row>
    <row r="369" spans="2:3" ht="18.75" customHeight="1" x14ac:dyDescent="0.4">
      <c r="B369" s="25"/>
      <c r="C369" s="23"/>
    </row>
    <row r="370" spans="2:3" ht="18.75" customHeight="1" x14ac:dyDescent="0.4">
      <c r="B370" s="25"/>
      <c r="C370" s="23"/>
    </row>
    <row r="371" spans="2:3" ht="18.75" customHeight="1" x14ac:dyDescent="0.4">
      <c r="B371" s="25"/>
      <c r="C371" s="23"/>
    </row>
    <row r="372" spans="2:3" ht="18.75" customHeight="1" x14ac:dyDescent="0.4">
      <c r="B372" s="25"/>
      <c r="C372" s="23"/>
    </row>
    <row r="373" spans="2:3" ht="18.75" customHeight="1" x14ac:dyDescent="0.4">
      <c r="B373" s="25"/>
      <c r="C373" s="23"/>
    </row>
    <row r="374" spans="2:3" ht="18.75" customHeight="1" x14ac:dyDescent="0.4">
      <c r="B374" s="25"/>
      <c r="C374" s="23"/>
    </row>
    <row r="375" spans="2:3" ht="18.75" customHeight="1" x14ac:dyDescent="0.4">
      <c r="B375" s="25"/>
      <c r="C375" s="23"/>
    </row>
    <row r="376" spans="2:3" ht="18.75" customHeight="1" x14ac:dyDescent="0.4">
      <c r="B376" s="25"/>
      <c r="C376" s="23"/>
    </row>
    <row r="377" spans="2:3" ht="18.75" customHeight="1" x14ac:dyDescent="0.4">
      <c r="B377" s="25"/>
      <c r="C377" s="23"/>
    </row>
    <row r="378" spans="2:3" ht="18.75" customHeight="1" x14ac:dyDescent="0.4">
      <c r="B378" s="25"/>
      <c r="C378" s="23"/>
    </row>
    <row r="379" spans="2:3" ht="18.75" customHeight="1" x14ac:dyDescent="0.4">
      <c r="B379" s="25"/>
      <c r="C379" s="23"/>
    </row>
    <row r="380" spans="2:3" ht="18.75" customHeight="1" x14ac:dyDescent="0.4">
      <c r="B380" s="25"/>
      <c r="C380" s="23"/>
    </row>
    <row r="381" spans="2:3" ht="18.75" customHeight="1" x14ac:dyDescent="0.4">
      <c r="B381" s="25"/>
      <c r="C381" s="23"/>
    </row>
    <row r="382" spans="2:3" ht="18.75" customHeight="1" x14ac:dyDescent="0.4">
      <c r="B382" s="25"/>
      <c r="C382" s="23"/>
    </row>
    <row r="383" spans="2:3" ht="18.75" customHeight="1" x14ac:dyDescent="0.4">
      <c r="B383" s="25"/>
      <c r="C383" s="23"/>
    </row>
    <row r="384" spans="2:3" ht="18.75" customHeight="1" x14ac:dyDescent="0.4">
      <c r="B384" s="25"/>
      <c r="C384" s="23"/>
    </row>
    <row r="385" spans="2:3" ht="18.75" customHeight="1" x14ac:dyDescent="0.4">
      <c r="B385" s="25"/>
      <c r="C385" s="23"/>
    </row>
    <row r="386" spans="2:3" ht="18.75" customHeight="1" x14ac:dyDescent="0.4">
      <c r="B386" s="25"/>
      <c r="C386" s="23"/>
    </row>
    <row r="387" spans="2:3" ht="18.75" customHeight="1" x14ac:dyDescent="0.4">
      <c r="B387" s="25"/>
      <c r="C387" s="23"/>
    </row>
    <row r="388" spans="2:3" ht="18.75" customHeight="1" x14ac:dyDescent="0.4">
      <c r="B388" s="25"/>
      <c r="C388" s="23"/>
    </row>
    <row r="389" spans="2:3" ht="18.75" customHeight="1" x14ac:dyDescent="0.4">
      <c r="B389" s="25"/>
      <c r="C389" s="23"/>
    </row>
    <row r="390" spans="2:3" ht="18.75" customHeight="1" x14ac:dyDescent="0.4">
      <c r="B390" s="25"/>
      <c r="C390" s="23"/>
    </row>
    <row r="391" spans="2:3" ht="18.75" customHeight="1" x14ac:dyDescent="0.4">
      <c r="B391" s="25"/>
      <c r="C391" s="23"/>
    </row>
    <row r="392" spans="2:3" ht="18.75" customHeight="1" x14ac:dyDescent="0.4">
      <c r="B392" s="25"/>
      <c r="C392" s="23"/>
    </row>
    <row r="393" spans="2:3" ht="18.75" customHeight="1" x14ac:dyDescent="0.4">
      <c r="B393" s="25"/>
      <c r="C393" s="23"/>
    </row>
    <row r="394" spans="2:3" ht="18.75" customHeight="1" x14ac:dyDescent="0.4">
      <c r="B394" s="25"/>
      <c r="C394" s="23"/>
    </row>
    <row r="395" spans="2:3" ht="18.75" customHeight="1" x14ac:dyDescent="0.4">
      <c r="B395" s="25"/>
      <c r="C395" s="23"/>
    </row>
    <row r="396" spans="2:3" ht="18.75" customHeight="1" x14ac:dyDescent="0.4">
      <c r="B396" s="25"/>
      <c r="C396" s="23"/>
    </row>
    <row r="397" spans="2:3" ht="18.75" customHeight="1" x14ac:dyDescent="0.4">
      <c r="B397" s="25"/>
      <c r="C397" s="23"/>
    </row>
    <row r="398" spans="2:3" ht="18.75" customHeight="1" x14ac:dyDescent="0.4">
      <c r="B398" s="25"/>
      <c r="C398" s="23"/>
    </row>
    <row r="399" spans="2:3" ht="18.75" customHeight="1" x14ac:dyDescent="0.4">
      <c r="B399" s="25"/>
      <c r="C399" s="23"/>
    </row>
    <row r="400" spans="2:3" ht="18.75" customHeight="1" x14ac:dyDescent="0.4">
      <c r="B400" s="25"/>
      <c r="C400" s="23"/>
    </row>
    <row r="401" spans="2:3" ht="18.75" customHeight="1" x14ac:dyDescent="0.4">
      <c r="B401" s="25"/>
      <c r="C401" s="23"/>
    </row>
    <row r="402" spans="2:3" ht="18.75" customHeight="1" x14ac:dyDescent="0.4">
      <c r="B402" s="25"/>
      <c r="C402" s="23"/>
    </row>
    <row r="403" spans="2:3" ht="18.75" customHeight="1" x14ac:dyDescent="0.4">
      <c r="B403" s="25"/>
      <c r="C403" s="23"/>
    </row>
    <row r="404" spans="2:3" ht="18.75" customHeight="1" x14ac:dyDescent="0.4">
      <c r="B404" s="25"/>
      <c r="C404" s="23"/>
    </row>
    <row r="405" spans="2:3" ht="18.75" customHeight="1" x14ac:dyDescent="0.4">
      <c r="B405" s="25"/>
      <c r="C405" s="23"/>
    </row>
    <row r="406" spans="2:3" ht="18.75" customHeight="1" x14ac:dyDescent="0.4">
      <c r="B406" s="25"/>
      <c r="C406" s="23"/>
    </row>
    <row r="407" spans="2:3" ht="18.75" customHeight="1" x14ac:dyDescent="0.4">
      <c r="B407" s="25"/>
      <c r="C407" s="23"/>
    </row>
    <row r="408" spans="2:3" ht="18.75" customHeight="1" x14ac:dyDescent="0.4">
      <c r="B408" s="25"/>
      <c r="C408" s="23"/>
    </row>
    <row r="409" spans="2:3" ht="18.75" customHeight="1" x14ac:dyDescent="0.4">
      <c r="B409" s="25"/>
      <c r="C409" s="23"/>
    </row>
    <row r="410" spans="2:3" ht="18.75" customHeight="1" x14ac:dyDescent="0.4">
      <c r="B410" s="25"/>
      <c r="C410" s="23"/>
    </row>
    <row r="411" spans="2:3" ht="18.75" customHeight="1" x14ac:dyDescent="0.4">
      <c r="B411" s="25"/>
      <c r="C411" s="23"/>
    </row>
    <row r="412" spans="2:3" ht="18.75" customHeight="1" x14ac:dyDescent="0.4">
      <c r="B412" s="25"/>
      <c r="C412" s="23"/>
    </row>
    <row r="413" spans="2:3" ht="18.75" customHeight="1" x14ac:dyDescent="0.4">
      <c r="B413" s="25"/>
      <c r="C413" s="23"/>
    </row>
    <row r="414" spans="2:3" ht="18.75" customHeight="1" x14ac:dyDescent="0.4">
      <c r="B414" s="25"/>
      <c r="C414" s="23"/>
    </row>
    <row r="415" spans="2:3" ht="18.75" customHeight="1" x14ac:dyDescent="0.4">
      <c r="B415" s="25"/>
      <c r="C415" s="23"/>
    </row>
    <row r="416" spans="2:3" ht="18.75" customHeight="1" x14ac:dyDescent="0.4">
      <c r="B416" s="25"/>
      <c r="C416" s="23"/>
    </row>
    <row r="417" spans="2:3" ht="18.75" customHeight="1" x14ac:dyDescent="0.4">
      <c r="B417" s="25"/>
      <c r="C417" s="23"/>
    </row>
    <row r="418" spans="2:3" ht="18.75" customHeight="1" x14ac:dyDescent="0.4">
      <c r="B418" s="25"/>
      <c r="C418" s="23"/>
    </row>
    <row r="419" spans="2:3" ht="18.75" customHeight="1" x14ac:dyDescent="0.4">
      <c r="B419" s="25"/>
      <c r="C419" s="23"/>
    </row>
    <row r="420" spans="2:3" ht="18.75" customHeight="1" x14ac:dyDescent="0.4">
      <c r="B420" s="25"/>
      <c r="C420" s="23"/>
    </row>
    <row r="421" spans="2:3" ht="18.75" customHeight="1" x14ac:dyDescent="0.4">
      <c r="B421" s="25"/>
      <c r="C421" s="23"/>
    </row>
    <row r="422" spans="2:3" ht="18.75" customHeight="1" x14ac:dyDescent="0.4">
      <c r="B422" s="25"/>
      <c r="C422" s="23"/>
    </row>
    <row r="423" spans="2:3" ht="18.75" customHeight="1" x14ac:dyDescent="0.4">
      <c r="B423" s="25"/>
      <c r="C423" s="23"/>
    </row>
    <row r="424" spans="2:3" ht="18.75" customHeight="1" x14ac:dyDescent="0.4">
      <c r="B424" s="25"/>
      <c r="C424" s="23"/>
    </row>
    <row r="425" spans="2:3" ht="18.75" customHeight="1" x14ac:dyDescent="0.4">
      <c r="B425" s="25"/>
      <c r="C425" s="23"/>
    </row>
    <row r="426" spans="2:3" ht="18.75" customHeight="1" x14ac:dyDescent="0.4">
      <c r="B426" s="25"/>
      <c r="C426" s="23"/>
    </row>
    <row r="427" spans="2:3" ht="18.75" customHeight="1" x14ac:dyDescent="0.4">
      <c r="B427" s="25"/>
      <c r="C427" s="23"/>
    </row>
    <row r="428" spans="2:3" ht="18.75" customHeight="1" x14ac:dyDescent="0.4">
      <c r="B428" s="25"/>
      <c r="C428" s="23"/>
    </row>
    <row r="429" spans="2:3" ht="18.75" customHeight="1" x14ac:dyDescent="0.4">
      <c r="B429" s="25"/>
      <c r="C429" s="23"/>
    </row>
    <row r="430" spans="2:3" ht="18.75" customHeight="1" x14ac:dyDescent="0.4">
      <c r="B430" s="25"/>
      <c r="C430" s="23"/>
    </row>
    <row r="431" spans="2:3" ht="18.75" customHeight="1" x14ac:dyDescent="0.4">
      <c r="B431" s="25"/>
      <c r="C431" s="23"/>
    </row>
    <row r="432" spans="2:3" ht="18.75" customHeight="1" x14ac:dyDescent="0.4">
      <c r="B432" s="25"/>
      <c r="C432" s="23"/>
    </row>
    <row r="433" spans="2:3" ht="18.75" customHeight="1" x14ac:dyDescent="0.4">
      <c r="B433" s="25"/>
      <c r="C433" s="23"/>
    </row>
    <row r="434" spans="2:3" ht="18.75" customHeight="1" x14ac:dyDescent="0.4">
      <c r="B434" s="25"/>
      <c r="C434" s="23"/>
    </row>
    <row r="435" spans="2:3" ht="18.75" customHeight="1" x14ac:dyDescent="0.4">
      <c r="B435" s="25"/>
      <c r="C435" s="23"/>
    </row>
    <row r="436" spans="2:3" ht="18.75" customHeight="1" x14ac:dyDescent="0.4">
      <c r="B436" s="25"/>
      <c r="C436" s="23"/>
    </row>
    <row r="437" spans="2:3" ht="18.75" customHeight="1" x14ac:dyDescent="0.4">
      <c r="B437" s="25"/>
      <c r="C437" s="23"/>
    </row>
    <row r="438" spans="2:3" ht="18.75" customHeight="1" x14ac:dyDescent="0.4">
      <c r="B438" s="25"/>
      <c r="C438" s="23"/>
    </row>
    <row r="439" spans="2:3" ht="18.75" customHeight="1" x14ac:dyDescent="0.4">
      <c r="B439" s="25"/>
      <c r="C439" s="23"/>
    </row>
    <row r="440" spans="2:3" ht="18.75" customHeight="1" x14ac:dyDescent="0.4">
      <c r="B440" s="25"/>
      <c r="C440" s="23"/>
    </row>
    <row r="441" spans="2:3" ht="18.75" customHeight="1" x14ac:dyDescent="0.4">
      <c r="B441" s="25"/>
      <c r="C441" s="23"/>
    </row>
    <row r="442" spans="2:3" ht="18.75" customHeight="1" x14ac:dyDescent="0.4">
      <c r="B442" s="25"/>
      <c r="C442" s="23"/>
    </row>
    <row r="443" spans="2:3" ht="18.75" customHeight="1" x14ac:dyDescent="0.4">
      <c r="B443" s="25"/>
      <c r="C443" s="23"/>
    </row>
    <row r="444" spans="2:3" ht="18.75" customHeight="1" x14ac:dyDescent="0.4">
      <c r="B444" s="25"/>
      <c r="C444" s="23"/>
    </row>
    <row r="445" spans="2:3" ht="18.75" customHeight="1" x14ac:dyDescent="0.4">
      <c r="B445" s="25"/>
      <c r="C445" s="23"/>
    </row>
    <row r="446" spans="2:3" ht="18.75" customHeight="1" x14ac:dyDescent="0.4">
      <c r="B446" s="25"/>
      <c r="C446" s="23"/>
    </row>
    <row r="447" spans="2:3" ht="18.75" customHeight="1" x14ac:dyDescent="0.4">
      <c r="B447" s="25"/>
      <c r="C447" s="23"/>
    </row>
    <row r="448" spans="2:3" ht="18.75" customHeight="1" x14ac:dyDescent="0.4">
      <c r="B448" s="25"/>
      <c r="C448" s="23"/>
    </row>
    <row r="449" spans="2:3" ht="18.75" customHeight="1" x14ac:dyDescent="0.4">
      <c r="B449" s="25"/>
      <c r="C449" s="23"/>
    </row>
    <row r="450" spans="2:3" ht="18.75" customHeight="1" x14ac:dyDescent="0.4">
      <c r="B450" s="25"/>
      <c r="C450" s="23"/>
    </row>
    <row r="451" spans="2:3" ht="18.75" customHeight="1" x14ac:dyDescent="0.4">
      <c r="B451" s="25"/>
      <c r="C451" s="23"/>
    </row>
    <row r="452" spans="2:3" ht="18.75" customHeight="1" x14ac:dyDescent="0.4">
      <c r="B452" s="25"/>
      <c r="C452" s="23"/>
    </row>
    <row r="453" spans="2:3" ht="18.75" customHeight="1" x14ac:dyDescent="0.4">
      <c r="B453" s="25"/>
      <c r="C453" s="23"/>
    </row>
    <row r="454" spans="2:3" ht="18.75" customHeight="1" x14ac:dyDescent="0.4">
      <c r="B454" s="25"/>
      <c r="C454" s="23"/>
    </row>
    <row r="455" spans="2:3" ht="18.75" customHeight="1" x14ac:dyDescent="0.4">
      <c r="B455" s="25"/>
      <c r="C455" s="23"/>
    </row>
    <row r="456" spans="2:3" ht="18.75" customHeight="1" x14ac:dyDescent="0.4">
      <c r="B456" s="25"/>
      <c r="C456" s="23"/>
    </row>
    <row r="457" spans="2:3" ht="18.75" customHeight="1" x14ac:dyDescent="0.4">
      <c r="B457" s="25"/>
      <c r="C457" s="23"/>
    </row>
    <row r="458" spans="2:3" ht="18.75" customHeight="1" x14ac:dyDescent="0.4">
      <c r="B458" s="25"/>
      <c r="C458" s="23"/>
    </row>
    <row r="459" spans="2:3" ht="18.75" customHeight="1" x14ac:dyDescent="0.4">
      <c r="B459" s="25"/>
      <c r="C459" s="23"/>
    </row>
    <row r="460" spans="2:3" ht="18.75" customHeight="1" x14ac:dyDescent="0.4">
      <c r="B460" s="25"/>
      <c r="C460" s="23"/>
    </row>
    <row r="461" spans="2:3" ht="18.75" customHeight="1" x14ac:dyDescent="0.4">
      <c r="B461" s="25"/>
      <c r="C461" s="23"/>
    </row>
    <row r="462" spans="2:3" ht="18.75" customHeight="1" x14ac:dyDescent="0.4">
      <c r="B462" s="25"/>
      <c r="C462" s="23"/>
    </row>
    <row r="463" spans="2:3" ht="18.75" customHeight="1" x14ac:dyDescent="0.4">
      <c r="B463" s="25"/>
      <c r="C463" s="23"/>
    </row>
    <row r="464" spans="2:3" ht="18.75" customHeight="1" x14ac:dyDescent="0.4">
      <c r="B464" s="25"/>
      <c r="C464" s="23"/>
    </row>
    <row r="465" spans="2:3" ht="18.75" customHeight="1" x14ac:dyDescent="0.4">
      <c r="B465" s="25"/>
      <c r="C465" s="23"/>
    </row>
    <row r="466" spans="2:3" ht="18.75" customHeight="1" x14ac:dyDescent="0.4">
      <c r="B466" s="25"/>
      <c r="C466" s="23"/>
    </row>
    <row r="467" spans="2:3" ht="18.75" customHeight="1" x14ac:dyDescent="0.4">
      <c r="B467" s="25"/>
      <c r="C467" s="23"/>
    </row>
    <row r="468" spans="2:3" ht="18.75" customHeight="1" x14ac:dyDescent="0.4">
      <c r="B468" s="25"/>
      <c r="C468" s="23"/>
    </row>
    <row r="469" spans="2:3" ht="18.75" customHeight="1" x14ac:dyDescent="0.4">
      <c r="B469" s="25"/>
      <c r="C469" s="23"/>
    </row>
    <row r="470" spans="2:3" ht="18.75" customHeight="1" x14ac:dyDescent="0.4">
      <c r="B470" s="25"/>
      <c r="C470" s="23"/>
    </row>
    <row r="471" spans="2:3" ht="18.75" customHeight="1" x14ac:dyDescent="0.4">
      <c r="B471" s="25"/>
      <c r="C471" s="23"/>
    </row>
    <row r="472" spans="2:3" ht="18.75" customHeight="1" x14ac:dyDescent="0.4">
      <c r="B472" s="25"/>
      <c r="C472" s="23"/>
    </row>
    <row r="473" spans="2:3" ht="18.75" customHeight="1" x14ac:dyDescent="0.4">
      <c r="B473" s="25"/>
      <c r="C473" s="23"/>
    </row>
    <row r="474" spans="2:3" ht="18.75" customHeight="1" x14ac:dyDescent="0.4">
      <c r="B474" s="25"/>
      <c r="C474" s="23"/>
    </row>
    <row r="475" spans="2:3" ht="18.75" customHeight="1" x14ac:dyDescent="0.4">
      <c r="B475" s="25"/>
      <c r="C475" s="23"/>
    </row>
    <row r="476" spans="2:3" ht="18.75" customHeight="1" x14ac:dyDescent="0.4">
      <c r="B476" s="25"/>
      <c r="C476" s="23"/>
    </row>
    <row r="477" spans="2:3" ht="18.75" customHeight="1" x14ac:dyDescent="0.4">
      <c r="B477" s="25"/>
      <c r="C477" s="23"/>
    </row>
    <row r="478" spans="2:3" ht="18.75" customHeight="1" x14ac:dyDescent="0.4">
      <c r="B478" s="25"/>
      <c r="C478" s="23"/>
    </row>
    <row r="479" spans="2:3" ht="18.75" customHeight="1" x14ac:dyDescent="0.4">
      <c r="B479" s="25"/>
      <c r="C479" s="23"/>
    </row>
    <row r="480" spans="2:3" ht="18.75" customHeight="1" x14ac:dyDescent="0.4">
      <c r="B480" s="25"/>
      <c r="C480" s="23"/>
    </row>
    <row r="481" spans="2:3" ht="18.75" customHeight="1" x14ac:dyDescent="0.4">
      <c r="B481" s="25"/>
      <c r="C481" s="23"/>
    </row>
    <row r="482" spans="2:3" ht="18.75" customHeight="1" x14ac:dyDescent="0.4">
      <c r="B482" s="25"/>
      <c r="C482" s="23"/>
    </row>
    <row r="483" spans="2:3" ht="18.75" customHeight="1" x14ac:dyDescent="0.4">
      <c r="B483" s="25"/>
      <c r="C483" s="23"/>
    </row>
    <row r="484" spans="2:3" ht="18.75" customHeight="1" x14ac:dyDescent="0.4">
      <c r="B484" s="25"/>
      <c r="C484" s="23"/>
    </row>
    <row r="485" spans="2:3" ht="18.75" customHeight="1" x14ac:dyDescent="0.4">
      <c r="B485" s="25"/>
      <c r="C485" s="23"/>
    </row>
    <row r="486" spans="2:3" ht="18.75" customHeight="1" x14ac:dyDescent="0.4">
      <c r="B486" s="25"/>
      <c r="C486" s="23"/>
    </row>
    <row r="487" spans="2:3" ht="18.75" customHeight="1" x14ac:dyDescent="0.4">
      <c r="B487" s="25"/>
      <c r="C487" s="23"/>
    </row>
    <row r="488" spans="2:3" ht="18.75" customHeight="1" x14ac:dyDescent="0.4">
      <c r="B488" s="25"/>
      <c r="C488" s="23"/>
    </row>
    <row r="489" spans="2:3" ht="18.75" customHeight="1" x14ac:dyDescent="0.4">
      <c r="B489" s="25"/>
      <c r="C489" s="23"/>
    </row>
    <row r="490" spans="2:3" ht="18.75" customHeight="1" x14ac:dyDescent="0.4">
      <c r="B490" s="25"/>
      <c r="C490" s="23"/>
    </row>
    <row r="491" spans="2:3" ht="18.75" customHeight="1" x14ac:dyDescent="0.4">
      <c r="B491" s="25"/>
      <c r="C491" s="23"/>
    </row>
    <row r="492" spans="2:3" ht="18.75" customHeight="1" x14ac:dyDescent="0.4">
      <c r="B492" s="25"/>
      <c r="C492" s="23"/>
    </row>
    <row r="493" spans="2:3" ht="18.75" customHeight="1" x14ac:dyDescent="0.4">
      <c r="B493" s="25"/>
      <c r="C493" s="23"/>
    </row>
    <row r="494" spans="2:3" ht="18.75" customHeight="1" x14ac:dyDescent="0.4">
      <c r="B494" s="25"/>
      <c r="C494" s="23"/>
    </row>
    <row r="495" spans="2:3" ht="18.75" customHeight="1" x14ac:dyDescent="0.4">
      <c r="B495" s="25"/>
      <c r="C495" s="23"/>
    </row>
    <row r="496" spans="2:3" ht="18.75" customHeight="1" x14ac:dyDescent="0.4">
      <c r="B496" s="25"/>
      <c r="C496" s="23"/>
    </row>
    <row r="497" spans="2:3" ht="18.75" customHeight="1" x14ac:dyDescent="0.4">
      <c r="B497" s="25"/>
      <c r="C497" s="23"/>
    </row>
    <row r="498" spans="2:3" ht="18.75" customHeight="1" x14ac:dyDescent="0.4">
      <c r="B498" s="25"/>
      <c r="C498" s="23"/>
    </row>
    <row r="499" spans="2:3" ht="18.75" customHeight="1" x14ac:dyDescent="0.4">
      <c r="B499" s="25"/>
      <c r="C499" s="23"/>
    </row>
    <row r="500" spans="2:3" ht="18.75" customHeight="1" x14ac:dyDescent="0.4">
      <c r="B500" s="25"/>
      <c r="C500" s="23"/>
    </row>
    <row r="501" spans="2:3" ht="18.75" customHeight="1" x14ac:dyDescent="0.4">
      <c r="B501" s="25"/>
      <c r="C501" s="23"/>
    </row>
    <row r="502" spans="2:3" ht="18.75" customHeight="1" x14ac:dyDescent="0.4">
      <c r="B502" s="25"/>
      <c r="C502" s="23"/>
    </row>
    <row r="503" spans="2:3" ht="18.75" customHeight="1" x14ac:dyDescent="0.4">
      <c r="B503" s="25"/>
      <c r="C503" s="23"/>
    </row>
    <row r="504" spans="2:3" ht="18.75" customHeight="1" x14ac:dyDescent="0.4">
      <c r="B504" s="25"/>
      <c r="C504" s="23"/>
    </row>
    <row r="505" spans="2:3" ht="18.75" customHeight="1" x14ac:dyDescent="0.4">
      <c r="B505" s="25"/>
      <c r="C505" s="23"/>
    </row>
    <row r="506" spans="2:3" ht="18.75" customHeight="1" x14ac:dyDescent="0.4">
      <c r="B506" s="25"/>
      <c r="C506" s="23"/>
    </row>
    <row r="507" spans="2:3" ht="18.75" customHeight="1" x14ac:dyDescent="0.4">
      <c r="B507" s="25"/>
      <c r="C507" s="23"/>
    </row>
    <row r="508" spans="2:3" ht="18.75" customHeight="1" x14ac:dyDescent="0.4">
      <c r="B508" s="25"/>
      <c r="C508" s="23"/>
    </row>
    <row r="509" spans="2:3" ht="18.75" customHeight="1" x14ac:dyDescent="0.4">
      <c r="B509" s="25"/>
      <c r="C509" s="23"/>
    </row>
    <row r="510" spans="2:3" ht="18.75" customHeight="1" x14ac:dyDescent="0.4">
      <c r="B510" s="25"/>
      <c r="C510" s="23"/>
    </row>
    <row r="511" spans="2:3" ht="18.75" customHeight="1" x14ac:dyDescent="0.4">
      <c r="B511" s="25"/>
      <c r="C511" s="23"/>
    </row>
    <row r="512" spans="2:3" ht="18.75" customHeight="1" x14ac:dyDescent="0.4">
      <c r="B512" s="25"/>
      <c r="C512" s="23"/>
    </row>
    <row r="513" spans="2:3" ht="18.75" customHeight="1" x14ac:dyDescent="0.4">
      <c r="B513" s="25"/>
      <c r="C513" s="23"/>
    </row>
    <row r="514" spans="2:3" ht="18.75" customHeight="1" x14ac:dyDescent="0.4">
      <c r="B514" s="25"/>
      <c r="C514" s="23"/>
    </row>
    <row r="515" spans="2:3" ht="18.75" customHeight="1" x14ac:dyDescent="0.4">
      <c r="B515" s="25"/>
      <c r="C515" s="23"/>
    </row>
    <row r="516" spans="2:3" ht="18.75" customHeight="1" x14ac:dyDescent="0.4">
      <c r="B516" s="25"/>
      <c r="C516" s="23"/>
    </row>
    <row r="517" spans="2:3" ht="18.75" customHeight="1" x14ac:dyDescent="0.4">
      <c r="B517" s="25"/>
      <c r="C517" s="23"/>
    </row>
    <row r="518" spans="2:3" ht="18.75" customHeight="1" x14ac:dyDescent="0.4">
      <c r="B518" s="25"/>
      <c r="C518" s="23"/>
    </row>
    <row r="519" spans="2:3" ht="18.75" customHeight="1" x14ac:dyDescent="0.4">
      <c r="B519" s="25"/>
      <c r="C519" s="23"/>
    </row>
    <row r="520" spans="2:3" ht="18.75" customHeight="1" x14ac:dyDescent="0.4">
      <c r="B520" s="25"/>
      <c r="C520" s="23"/>
    </row>
    <row r="521" spans="2:3" ht="18.75" customHeight="1" x14ac:dyDescent="0.4">
      <c r="B521" s="25"/>
      <c r="C521" s="23"/>
    </row>
    <row r="522" spans="2:3" ht="18.75" customHeight="1" x14ac:dyDescent="0.4">
      <c r="B522" s="25"/>
      <c r="C522" s="23"/>
    </row>
    <row r="523" spans="2:3" ht="18.75" customHeight="1" x14ac:dyDescent="0.4">
      <c r="B523" s="25"/>
      <c r="C523" s="23"/>
    </row>
    <row r="524" spans="2:3" ht="18.75" customHeight="1" x14ac:dyDescent="0.4">
      <c r="B524" s="25"/>
      <c r="C524" s="23"/>
    </row>
    <row r="525" spans="2:3" ht="18.75" customHeight="1" x14ac:dyDescent="0.4">
      <c r="B525" s="25"/>
      <c r="C525" s="23"/>
    </row>
    <row r="526" spans="2:3" ht="18.75" customHeight="1" x14ac:dyDescent="0.4">
      <c r="B526" s="25"/>
      <c r="C526" s="23"/>
    </row>
    <row r="527" spans="2:3" ht="18.75" customHeight="1" x14ac:dyDescent="0.4">
      <c r="B527" s="25"/>
      <c r="C527" s="23"/>
    </row>
    <row r="528" spans="2:3" ht="18.75" customHeight="1" x14ac:dyDescent="0.4">
      <c r="B528" s="25"/>
      <c r="C528" s="23"/>
    </row>
    <row r="529" spans="2:3" ht="18.75" customHeight="1" x14ac:dyDescent="0.4">
      <c r="B529" s="25"/>
      <c r="C529" s="23"/>
    </row>
    <row r="530" spans="2:3" ht="18.75" customHeight="1" x14ac:dyDescent="0.4">
      <c r="B530" s="25"/>
      <c r="C530" s="23"/>
    </row>
    <row r="531" spans="2:3" ht="18.75" customHeight="1" x14ac:dyDescent="0.4">
      <c r="B531" s="25"/>
      <c r="C531" s="23"/>
    </row>
    <row r="532" spans="2:3" ht="18.75" customHeight="1" x14ac:dyDescent="0.4">
      <c r="B532" s="25"/>
      <c r="C532" s="23"/>
    </row>
    <row r="533" spans="2:3" ht="18.75" customHeight="1" x14ac:dyDescent="0.4">
      <c r="B533" s="25"/>
      <c r="C533" s="23"/>
    </row>
    <row r="534" spans="2:3" ht="18.75" customHeight="1" x14ac:dyDescent="0.4">
      <c r="B534" s="25"/>
      <c r="C534" s="23"/>
    </row>
    <row r="535" spans="2:3" ht="18.75" customHeight="1" x14ac:dyDescent="0.4">
      <c r="B535" s="25"/>
      <c r="C535" s="23"/>
    </row>
    <row r="536" spans="2:3" ht="18.75" customHeight="1" x14ac:dyDescent="0.4">
      <c r="B536" s="25"/>
      <c r="C536" s="23"/>
    </row>
    <row r="537" spans="2:3" ht="18.75" customHeight="1" x14ac:dyDescent="0.4">
      <c r="B537" s="25"/>
      <c r="C537" s="23"/>
    </row>
    <row r="538" spans="2:3" ht="18.75" customHeight="1" x14ac:dyDescent="0.4">
      <c r="B538" s="25"/>
      <c r="C538" s="23"/>
    </row>
    <row r="539" spans="2:3" ht="18.75" customHeight="1" x14ac:dyDescent="0.4">
      <c r="B539" s="25"/>
      <c r="C539" s="23"/>
    </row>
    <row r="540" spans="2:3" ht="18.75" customHeight="1" x14ac:dyDescent="0.4">
      <c r="B540" s="25"/>
      <c r="C540" s="23"/>
    </row>
    <row r="541" spans="2:3" ht="18.75" customHeight="1" x14ac:dyDescent="0.4">
      <c r="B541" s="25"/>
      <c r="C541" s="23"/>
    </row>
    <row r="542" spans="2:3" ht="18.75" customHeight="1" x14ac:dyDescent="0.4">
      <c r="B542" s="25"/>
      <c r="C542" s="23"/>
    </row>
    <row r="543" spans="2:3" ht="18.75" customHeight="1" x14ac:dyDescent="0.4">
      <c r="B543" s="25"/>
      <c r="C543" s="23"/>
    </row>
    <row r="544" spans="2:3" ht="18.75" customHeight="1" x14ac:dyDescent="0.4">
      <c r="B544" s="25"/>
      <c r="C544" s="23"/>
    </row>
    <row r="545" spans="2:3" ht="18.75" customHeight="1" x14ac:dyDescent="0.4">
      <c r="B545" s="25"/>
      <c r="C545" s="23"/>
    </row>
    <row r="546" spans="2:3" ht="18.75" customHeight="1" x14ac:dyDescent="0.4">
      <c r="B546" s="25"/>
      <c r="C546" s="23"/>
    </row>
    <row r="547" spans="2:3" ht="18.75" customHeight="1" x14ac:dyDescent="0.4">
      <c r="B547" s="25"/>
      <c r="C547" s="23"/>
    </row>
    <row r="548" spans="2:3" ht="18.75" customHeight="1" x14ac:dyDescent="0.4">
      <c r="B548" s="25"/>
      <c r="C548" s="23"/>
    </row>
    <row r="549" spans="2:3" ht="18.75" customHeight="1" x14ac:dyDescent="0.4">
      <c r="B549" s="25"/>
      <c r="C549" s="23"/>
    </row>
    <row r="550" spans="2:3" ht="18.75" customHeight="1" x14ac:dyDescent="0.4">
      <c r="B550" s="25"/>
      <c r="C550" s="23"/>
    </row>
    <row r="551" spans="2:3" ht="18.75" customHeight="1" x14ac:dyDescent="0.4">
      <c r="B551" s="25"/>
      <c r="C551" s="23"/>
    </row>
    <row r="552" spans="2:3" ht="18.75" customHeight="1" x14ac:dyDescent="0.4">
      <c r="B552" s="25"/>
      <c r="C552" s="23"/>
    </row>
    <row r="553" spans="2:3" ht="18.75" customHeight="1" x14ac:dyDescent="0.4">
      <c r="B553" s="25"/>
      <c r="C553" s="23"/>
    </row>
    <row r="554" spans="2:3" ht="18.75" customHeight="1" x14ac:dyDescent="0.4">
      <c r="B554" s="25"/>
      <c r="C554" s="23"/>
    </row>
    <row r="555" spans="2:3" ht="18.75" customHeight="1" x14ac:dyDescent="0.4">
      <c r="B555" s="25"/>
      <c r="C555" s="23"/>
    </row>
    <row r="556" spans="2:3" ht="18.75" customHeight="1" x14ac:dyDescent="0.4">
      <c r="B556" s="25"/>
      <c r="C556" s="23"/>
    </row>
    <row r="557" spans="2:3" ht="18.75" customHeight="1" x14ac:dyDescent="0.4">
      <c r="B557" s="25"/>
      <c r="C557" s="23"/>
    </row>
    <row r="558" spans="2:3" ht="18.75" customHeight="1" x14ac:dyDescent="0.4">
      <c r="B558" s="25"/>
      <c r="C558" s="23"/>
    </row>
    <row r="559" spans="2:3" ht="18.75" customHeight="1" x14ac:dyDescent="0.4">
      <c r="B559" s="25"/>
      <c r="C559" s="23"/>
    </row>
    <row r="560" spans="2:3" ht="18.75" customHeight="1" x14ac:dyDescent="0.4">
      <c r="B560" s="25"/>
      <c r="C560" s="23"/>
    </row>
    <row r="561" spans="2:3" ht="18.75" customHeight="1" x14ac:dyDescent="0.4">
      <c r="B561" s="25"/>
      <c r="C561" s="23"/>
    </row>
    <row r="562" spans="2:3" ht="18.75" customHeight="1" x14ac:dyDescent="0.4">
      <c r="B562" s="25"/>
      <c r="C562" s="23"/>
    </row>
    <row r="563" spans="2:3" ht="18.75" customHeight="1" x14ac:dyDescent="0.4">
      <c r="B563" s="25"/>
      <c r="C563" s="23"/>
    </row>
    <row r="564" spans="2:3" ht="18.75" customHeight="1" x14ac:dyDescent="0.4">
      <c r="B564" s="25"/>
      <c r="C564" s="23"/>
    </row>
    <row r="565" spans="2:3" ht="18.75" customHeight="1" x14ac:dyDescent="0.4">
      <c r="B565" s="25"/>
      <c r="C565" s="23"/>
    </row>
    <row r="566" spans="2:3" ht="18.75" customHeight="1" x14ac:dyDescent="0.4">
      <c r="B566" s="25"/>
      <c r="C566" s="23"/>
    </row>
    <row r="567" spans="2:3" ht="18.75" customHeight="1" x14ac:dyDescent="0.4">
      <c r="B567" s="25"/>
      <c r="C567" s="23"/>
    </row>
    <row r="568" spans="2:3" ht="18.75" customHeight="1" x14ac:dyDescent="0.4">
      <c r="B568" s="25"/>
      <c r="C568" s="23"/>
    </row>
    <row r="569" spans="2:3" ht="18.75" customHeight="1" x14ac:dyDescent="0.4">
      <c r="B569" s="25"/>
      <c r="C569" s="23"/>
    </row>
    <row r="570" spans="2:3" ht="18.75" customHeight="1" x14ac:dyDescent="0.4">
      <c r="B570" s="25"/>
      <c r="C570" s="23"/>
    </row>
    <row r="571" spans="2:3" ht="18.75" customHeight="1" x14ac:dyDescent="0.4">
      <c r="B571" s="25"/>
      <c r="C571" s="23"/>
    </row>
    <row r="572" spans="2:3" ht="18.75" customHeight="1" x14ac:dyDescent="0.4">
      <c r="B572" s="25"/>
      <c r="C572" s="23"/>
    </row>
    <row r="573" spans="2:3" ht="18.75" customHeight="1" x14ac:dyDescent="0.4">
      <c r="B573" s="25"/>
      <c r="C573" s="23"/>
    </row>
    <row r="574" spans="2:3" ht="18.75" customHeight="1" x14ac:dyDescent="0.4">
      <c r="B574" s="25"/>
      <c r="C574" s="23"/>
    </row>
    <row r="575" spans="2:3" ht="18.75" customHeight="1" x14ac:dyDescent="0.4">
      <c r="B575" s="25"/>
      <c r="C575" s="23"/>
    </row>
    <row r="576" spans="2:3" ht="18.75" customHeight="1" x14ac:dyDescent="0.4">
      <c r="B576" s="25"/>
      <c r="C576" s="23"/>
    </row>
    <row r="577" spans="2:3" ht="18.75" customHeight="1" x14ac:dyDescent="0.4">
      <c r="B577" s="25"/>
      <c r="C577" s="23"/>
    </row>
    <row r="578" spans="2:3" ht="18.75" customHeight="1" x14ac:dyDescent="0.4">
      <c r="B578" s="25"/>
      <c r="C578" s="23"/>
    </row>
    <row r="579" spans="2:3" ht="18.75" customHeight="1" x14ac:dyDescent="0.4">
      <c r="B579" s="25"/>
      <c r="C579" s="23"/>
    </row>
    <row r="580" spans="2:3" ht="18.75" customHeight="1" x14ac:dyDescent="0.4">
      <c r="B580" s="25"/>
      <c r="C580" s="23"/>
    </row>
    <row r="581" spans="2:3" ht="18.75" customHeight="1" x14ac:dyDescent="0.4">
      <c r="B581" s="25"/>
      <c r="C581" s="23"/>
    </row>
    <row r="582" spans="2:3" ht="18.75" customHeight="1" x14ac:dyDescent="0.4">
      <c r="B582" s="25"/>
      <c r="C582" s="23"/>
    </row>
    <row r="583" spans="2:3" ht="18.75" customHeight="1" x14ac:dyDescent="0.4">
      <c r="B583" s="25"/>
      <c r="C583" s="23"/>
    </row>
    <row r="584" spans="2:3" ht="18.75" customHeight="1" x14ac:dyDescent="0.4">
      <c r="B584" s="25"/>
      <c r="C584" s="23"/>
    </row>
    <row r="585" spans="2:3" ht="18.75" customHeight="1" x14ac:dyDescent="0.4">
      <c r="B585" s="25"/>
      <c r="C585" s="23"/>
    </row>
    <row r="586" spans="2:3" ht="18.75" customHeight="1" x14ac:dyDescent="0.4">
      <c r="B586" s="25"/>
      <c r="C586" s="23"/>
    </row>
    <row r="587" spans="2:3" ht="18.75" customHeight="1" x14ac:dyDescent="0.4">
      <c r="B587" s="25"/>
      <c r="C587" s="23"/>
    </row>
    <row r="588" spans="2:3" ht="18.75" customHeight="1" x14ac:dyDescent="0.4">
      <c r="B588" s="25"/>
      <c r="C588" s="23"/>
    </row>
    <row r="589" spans="2:3" ht="18.75" customHeight="1" x14ac:dyDescent="0.4">
      <c r="B589" s="25"/>
      <c r="C589" s="23"/>
    </row>
    <row r="590" spans="2:3" ht="18.75" customHeight="1" x14ac:dyDescent="0.4">
      <c r="B590" s="25"/>
      <c r="C590" s="23"/>
    </row>
    <row r="591" spans="2:3" ht="18.75" customHeight="1" x14ac:dyDescent="0.4">
      <c r="B591" s="25"/>
      <c r="C591" s="23"/>
    </row>
    <row r="592" spans="2:3" ht="18.75" customHeight="1" x14ac:dyDescent="0.4">
      <c r="B592" s="25"/>
      <c r="C592" s="23"/>
    </row>
    <row r="593" spans="2:3" ht="18.75" customHeight="1" x14ac:dyDescent="0.4">
      <c r="B593" s="25"/>
      <c r="C593" s="23"/>
    </row>
    <row r="594" spans="2:3" ht="18.75" customHeight="1" x14ac:dyDescent="0.4">
      <c r="B594" s="25"/>
      <c r="C594" s="23"/>
    </row>
    <row r="595" spans="2:3" ht="18.75" customHeight="1" x14ac:dyDescent="0.4">
      <c r="B595" s="25"/>
      <c r="C595" s="23"/>
    </row>
    <row r="596" spans="2:3" ht="18.75" customHeight="1" x14ac:dyDescent="0.4">
      <c r="B596" s="25"/>
      <c r="C596" s="23"/>
    </row>
    <row r="597" spans="2:3" ht="18.75" customHeight="1" x14ac:dyDescent="0.4">
      <c r="B597" s="25"/>
      <c r="C597" s="23"/>
    </row>
    <row r="598" spans="2:3" ht="18.75" customHeight="1" x14ac:dyDescent="0.4">
      <c r="B598" s="25"/>
      <c r="C598" s="23"/>
    </row>
    <row r="599" spans="2:3" ht="18.75" customHeight="1" x14ac:dyDescent="0.4">
      <c r="B599" s="25"/>
      <c r="C599" s="23"/>
    </row>
    <row r="600" spans="2:3" ht="18.75" customHeight="1" x14ac:dyDescent="0.4">
      <c r="B600" s="25"/>
      <c r="C600" s="23"/>
    </row>
    <row r="601" spans="2:3" ht="18.75" customHeight="1" x14ac:dyDescent="0.4">
      <c r="B601" s="25"/>
      <c r="C601" s="23"/>
    </row>
    <row r="602" spans="2:3" ht="18.75" customHeight="1" x14ac:dyDescent="0.4">
      <c r="B602" s="25"/>
      <c r="C602" s="23"/>
    </row>
    <row r="603" spans="2:3" ht="18.75" customHeight="1" x14ac:dyDescent="0.4">
      <c r="B603" s="25"/>
      <c r="C603" s="23"/>
    </row>
    <row r="604" spans="2:3" ht="18.75" customHeight="1" x14ac:dyDescent="0.4">
      <c r="B604" s="25"/>
      <c r="C604" s="23"/>
    </row>
    <row r="605" spans="2:3" ht="18.75" customHeight="1" x14ac:dyDescent="0.4">
      <c r="B605" s="25"/>
      <c r="C605" s="23"/>
    </row>
    <row r="606" spans="2:3" ht="18.75" customHeight="1" x14ac:dyDescent="0.4">
      <c r="B606" s="25"/>
      <c r="C606" s="23"/>
    </row>
    <row r="607" spans="2:3" ht="18.75" customHeight="1" x14ac:dyDescent="0.4">
      <c r="B607" s="25"/>
      <c r="C607" s="23"/>
    </row>
    <row r="608" spans="2:3" ht="18.75" customHeight="1" x14ac:dyDescent="0.4">
      <c r="B608" s="25"/>
      <c r="C608" s="23"/>
    </row>
    <row r="609" spans="2:3" ht="18.75" customHeight="1" x14ac:dyDescent="0.4">
      <c r="B609" s="25"/>
      <c r="C609" s="23"/>
    </row>
    <row r="610" spans="2:3" ht="18.75" customHeight="1" x14ac:dyDescent="0.4">
      <c r="B610" s="25"/>
      <c r="C610" s="23"/>
    </row>
    <row r="611" spans="2:3" ht="18.75" customHeight="1" x14ac:dyDescent="0.4">
      <c r="B611" s="25"/>
      <c r="C611" s="23"/>
    </row>
    <row r="612" spans="2:3" ht="18.75" customHeight="1" x14ac:dyDescent="0.4">
      <c r="B612" s="25"/>
      <c r="C612" s="23"/>
    </row>
    <row r="613" spans="2:3" ht="18.75" customHeight="1" x14ac:dyDescent="0.4">
      <c r="B613" s="25"/>
      <c r="C613" s="23"/>
    </row>
    <row r="614" spans="2:3" ht="18.75" customHeight="1" x14ac:dyDescent="0.4">
      <c r="B614" s="25"/>
      <c r="C614" s="23"/>
    </row>
    <row r="615" spans="2:3" ht="18.75" customHeight="1" x14ac:dyDescent="0.4">
      <c r="B615" s="25"/>
      <c r="C615" s="23"/>
    </row>
    <row r="616" spans="2:3" ht="18.75" customHeight="1" x14ac:dyDescent="0.4">
      <c r="B616" s="25"/>
      <c r="C616" s="23"/>
    </row>
    <row r="617" spans="2:3" ht="18.75" customHeight="1" x14ac:dyDescent="0.4">
      <c r="B617" s="25"/>
      <c r="C617" s="23"/>
    </row>
    <row r="618" spans="2:3" ht="18.75" customHeight="1" x14ac:dyDescent="0.4">
      <c r="B618" s="25"/>
      <c r="C618" s="23"/>
    </row>
    <row r="619" spans="2:3" ht="18.75" customHeight="1" x14ac:dyDescent="0.4">
      <c r="B619" s="25"/>
      <c r="C619" s="23"/>
    </row>
    <row r="620" spans="2:3" ht="18.75" customHeight="1" x14ac:dyDescent="0.4">
      <c r="B620" s="25"/>
      <c r="C620" s="23"/>
    </row>
    <row r="621" spans="2:3" ht="18.75" customHeight="1" x14ac:dyDescent="0.4">
      <c r="B621" s="25"/>
      <c r="C621" s="23"/>
    </row>
    <row r="622" spans="2:3" ht="18.75" customHeight="1" x14ac:dyDescent="0.4">
      <c r="B622" s="25"/>
      <c r="C622" s="23"/>
    </row>
    <row r="623" spans="2:3" ht="18.75" customHeight="1" x14ac:dyDescent="0.4">
      <c r="B623" s="25"/>
      <c r="C623" s="23"/>
    </row>
    <row r="624" spans="2:3" ht="18.75" customHeight="1" x14ac:dyDescent="0.4">
      <c r="B624" s="25"/>
      <c r="C624" s="23"/>
    </row>
    <row r="625" spans="2:3" ht="18.75" customHeight="1" x14ac:dyDescent="0.4">
      <c r="B625" s="25"/>
      <c r="C625" s="23"/>
    </row>
    <row r="626" spans="2:3" ht="18.75" customHeight="1" x14ac:dyDescent="0.4">
      <c r="B626" s="25"/>
      <c r="C626" s="23"/>
    </row>
    <row r="627" spans="2:3" ht="18.75" customHeight="1" x14ac:dyDescent="0.4">
      <c r="B627" s="25"/>
      <c r="C627" s="23"/>
    </row>
    <row r="628" spans="2:3" ht="18.75" customHeight="1" x14ac:dyDescent="0.4">
      <c r="B628" s="25"/>
      <c r="C628" s="23"/>
    </row>
    <row r="629" spans="2:3" ht="18.75" customHeight="1" x14ac:dyDescent="0.4">
      <c r="B629" s="25"/>
      <c r="C629" s="23"/>
    </row>
    <row r="630" spans="2:3" ht="18.75" customHeight="1" x14ac:dyDescent="0.4">
      <c r="B630" s="25"/>
      <c r="C630" s="23"/>
    </row>
    <row r="631" spans="2:3" ht="18.75" customHeight="1" x14ac:dyDescent="0.4">
      <c r="B631" s="25"/>
      <c r="C631" s="23"/>
    </row>
    <row r="632" spans="2:3" ht="18.75" customHeight="1" x14ac:dyDescent="0.4">
      <c r="B632" s="25"/>
      <c r="C632" s="23"/>
    </row>
    <row r="633" spans="2:3" ht="18.75" customHeight="1" x14ac:dyDescent="0.4">
      <c r="B633" s="25"/>
      <c r="C633" s="23"/>
    </row>
    <row r="634" spans="2:3" ht="18.75" customHeight="1" x14ac:dyDescent="0.4">
      <c r="B634" s="25"/>
      <c r="C634" s="23"/>
    </row>
    <row r="635" spans="2:3" ht="18.75" customHeight="1" x14ac:dyDescent="0.4">
      <c r="B635" s="25"/>
      <c r="C635" s="23"/>
    </row>
    <row r="636" spans="2:3" ht="18.75" customHeight="1" x14ac:dyDescent="0.4">
      <c r="B636" s="25"/>
      <c r="C636" s="23"/>
    </row>
    <row r="637" spans="2:3" ht="18.75" customHeight="1" x14ac:dyDescent="0.4">
      <c r="B637" s="25"/>
      <c r="C637" s="23"/>
    </row>
    <row r="638" spans="2:3" ht="18.75" customHeight="1" x14ac:dyDescent="0.4">
      <c r="B638" s="25"/>
      <c r="C638" s="23"/>
    </row>
    <row r="639" spans="2:3" ht="18.75" customHeight="1" x14ac:dyDescent="0.4">
      <c r="B639" s="25"/>
      <c r="C639" s="23"/>
    </row>
    <row r="640" spans="2:3" ht="18.75" customHeight="1" x14ac:dyDescent="0.4">
      <c r="B640" s="25"/>
      <c r="C640" s="23"/>
    </row>
    <row r="641" spans="2:3" ht="18.75" customHeight="1" x14ac:dyDescent="0.4">
      <c r="B641" s="25"/>
      <c r="C641" s="23"/>
    </row>
    <row r="642" spans="2:3" ht="18.75" customHeight="1" x14ac:dyDescent="0.4">
      <c r="B642" s="25"/>
      <c r="C642" s="23"/>
    </row>
    <row r="643" spans="2:3" ht="18.75" customHeight="1" x14ac:dyDescent="0.4">
      <c r="B643" s="25"/>
      <c r="C643" s="23"/>
    </row>
    <row r="644" spans="2:3" ht="18.75" customHeight="1" x14ac:dyDescent="0.4">
      <c r="B644" s="25"/>
      <c r="C644" s="23"/>
    </row>
    <row r="645" spans="2:3" ht="18.75" customHeight="1" x14ac:dyDescent="0.4">
      <c r="B645" s="25"/>
      <c r="C645" s="23"/>
    </row>
    <row r="646" spans="2:3" ht="18.75" customHeight="1" x14ac:dyDescent="0.4">
      <c r="B646" s="25"/>
      <c r="C646" s="23"/>
    </row>
    <row r="647" spans="2:3" ht="18.75" customHeight="1" x14ac:dyDescent="0.4">
      <c r="B647" s="25"/>
      <c r="C647" s="23"/>
    </row>
    <row r="648" spans="2:3" ht="18.75" customHeight="1" x14ac:dyDescent="0.4">
      <c r="B648" s="25"/>
      <c r="C648" s="23"/>
    </row>
    <row r="649" spans="2:3" ht="18.75" customHeight="1" x14ac:dyDescent="0.4">
      <c r="B649" s="25"/>
      <c r="C649" s="23"/>
    </row>
    <row r="650" spans="2:3" ht="18.75" customHeight="1" x14ac:dyDescent="0.4">
      <c r="B650" s="25"/>
      <c r="C650" s="23"/>
    </row>
    <row r="651" spans="2:3" ht="18.75" customHeight="1" x14ac:dyDescent="0.4">
      <c r="B651" s="25"/>
      <c r="C651" s="23"/>
    </row>
    <row r="652" spans="2:3" ht="18.75" customHeight="1" x14ac:dyDescent="0.4">
      <c r="B652" s="25"/>
      <c r="C652" s="23"/>
    </row>
    <row r="653" spans="2:3" ht="18.75" customHeight="1" x14ac:dyDescent="0.4">
      <c r="B653" s="25"/>
      <c r="C653" s="23"/>
    </row>
    <row r="654" spans="2:3" ht="18.75" customHeight="1" x14ac:dyDescent="0.4">
      <c r="B654" s="25"/>
      <c r="C654" s="23"/>
    </row>
    <row r="655" spans="2:3" ht="18.75" customHeight="1" x14ac:dyDescent="0.4">
      <c r="B655" s="25"/>
      <c r="C655" s="23"/>
    </row>
    <row r="656" spans="2:3" ht="18.75" customHeight="1" x14ac:dyDescent="0.4">
      <c r="B656" s="25"/>
      <c r="C656" s="23"/>
    </row>
    <row r="657" spans="2:3" ht="18.75" customHeight="1" x14ac:dyDescent="0.4">
      <c r="B657" s="25"/>
      <c r="C657" s="23"/>
    </row>
    <row r="658" spans="2:3" ht="18.75" customHeight="1" x14ac:dyDescent="0.4">
      <c r="B658" s="25"/>
      <c r="C658" s="23"/>
    </row>
    <row r="659" spans="2:3" ht="18.75" customHeight="1" x14ac:dyDescent="0.4">
      <c r="B659" s="25"/>
      <c r="C659" s="23"/>
    </row>
    <row r="660" spans="2:3" ht="18.75" customHeight="1" x14ac:dyDescent="0.4">
      <c r="B660" s="25"/>
      <c r="C660" s="23"/>
    </row>
    <row r="661" spans="2:3" ht="18.75" customHeight="1" x14ac:dyDescent="0.4">
      <c r="B661" s="25"/>
      <c r="C661" s="23"/>
    </row>
    <row r="662" spans="2:3" ht="18.75" customHeight="1" x14ac:dyDescent="0.4">
      <c r="B662" s="25"/>
      <c r="C662" s="23"/>
    </row>
    <row r="663" spans="2:3" ht="18.75" customHeight="1" x14ac:dyDescent="0.4">
      <c r="B663" s="25"/>
      <c r="C663" s="23"/>
    </row>
    <row r="664" spans="2:3" ht="18.75" customHeight="1" x14ac:dyDescent="0.4">
      <c r="B664" s="25"/>
      <c r="C664" s="23"/>
    </row>
    <row r="665" spans="2:3" ht="18.75" customHeight="1" x14ac:dyDescent="0.4">
      <c r="B665" s="25"/>
      <c r="C665" s="23"/>
    </row>
    <row r="666" spans="2:3" ht="18.75" customHeight="1" x14ac:dyDescent="0.4">
      <c r="B666" s="25"/>
      <c r="C666" s="23"/>
    </row>
    <row r="667" spans="2:3" ht="18.75" customHeight="1" x14ac:dyDescent="0.4">
      <c r="B667" s="25"/>
      <c r="C667" s="23"/>
    </row>
    <row r="668" spans="2:3" ht="18.75" customHeight="1" x14ac:dyDescent="0.4">
      <c r="B668" s="25"/>
      <c r="C668" s="23"/>
    </row>
    <row r="669" spans="2:3" ht="18.75" customHeight="1" x14ac:dyDescent="0.4">
      <c r="B669" s="25"/>
      <c r="C669" s="23"/>
    </row>
    <row r="670" spans="2:3" ht="18.75" customHeight="1" x14ac:dyDescent="0.4">
      <c r="B670" s="25"/>
      <c r="C670" s="23"/>
    </row>
    <row r="671" spans="2:3" ht="18.75" customHeight="1" x14ac:dyDescent="0.4">
      <c r="B671" s="25"/>
      <c r="C671" s="23"/>
    </row>
    <row r="672" spans="2:3" ht="18.75" customHeight="1" x14ac:dyDescent="0.4">
      <c r="B672" s="25"/>
      <c r="C672" s="23"/>
    </row>
    <row r="673" spans="2:3" ht="18.75" customHeight="1" x14ac:dyDescent="0.4">
      <c r="B673" s="25"/>
      <c r="C673" s="23"/>
    </row>
    <row r="674" spans="2:3" ht="18.75" customHeight="1" x14ac:dyDescent="0.4">
      <c r="B674" s="25"/>
      <c r="C674" s="23"/>
    </row>
    <row r="675" spans="2:3" ht="18.75" customHeight="1" x14ac:dyDescent="0.4">
      <c r="B675" s="25"/>
      <c r="C675" s="23"/>
    </row>
    <row r="676" spans="2:3" ht="18.75" customHeight="1" x14ac:dyDescent="0.4">
      <c r="B676" s="25"/>
      <c r="C676" s="23"/>
    </row>
    <row r="677" spans="2:3" ht="18.75" customHeight="1" x14ac:dyDescent="0.4">
      <c r="B677" s="25"/>
      <c r="C677" s="23"/>
    </row>
    <row r="678" spans="2:3" ht="18.75" customHeight="1" x14ac:dyDescent="0.4">
      <c r="B678" s="25"/>
      <c r="C678" s="23"/>
    </row>
    <row r="679" spans="2:3" ht="18.75" customHeight="1" x14ac:dyDescent="0.4">
      <c r="B679" s="25"/>
      <c r="C679" s="23"/>
    </row>
    <row r="680" spans="2:3" ht="18.75" customHeight="1" x14ac:dyDescent="0.4">
      <c r="B680" s="25"/>
      <c r="C680" s="23"/>
    </row>
    <row r="681" spans="2:3" ht="18.75" customHeight="1" x14ac:dyDescent="0.4">
      <c r="B681" s="25"/>
      <c r="C681" s="23"/>
    </row>
    <row r="682" spans="2:3" ht="18.75" customHeight="1" x14ac:dyDescent="0.4">
      <c r="B682" s="25"/>
      <c r="C682" s="23"/>
    </row>
    <row r="683" spans="2:3" ht="18.75" customHeight="1" x14ac:dyDescent="0.4">
      <c r="B683" s="25"/>
      <c r="C683" s="23"/>
    </row>
    <row r="684" spans="2:3" ht="18.75" customHeight="1" x14ac:dyDescent="0.4">
      <c r="B684" s="25"/>
      <c r="C684" s="23"/>
    </row>
    <row r="685" spans="2:3" ht="18.75" customHeight="1" x14ac:dyDescent="0.4">
      <c r="B685" s="25"/>
      <c r="C685" s="23"/>
    </row>
    <row r="686" spans="2:3" ht="18.75" customHeight="1" x14ac:dyDescent="0.4">
      <c r="B686" s="25"/>
      <c r="C686" s="23"/>
    </row>
    <row r="687" spans="2:3" ht="18.75" customHeight="1" x14ac:dyDescent="0.4">
      <c r="B687" s="25"/>
      <c r="C687" s="23"/>
    </row>
    <row r="688" spans="2:3" ht="18.75" customHeight="1" x14ac:dyDescent="0.4">
      <c r="B688" s="25"/>
      <c r="C688" s="23"/>
    </row>
    <row r="689" spans="2:3" ht="18.75" customHeight="1" x14ac:dyDescent="0.4">
      <c r="B689" s="25"/>
      <c r="C689" s="23"/>
    </row>
    <row r="690" spans="2:3" ht="18.75" customHeight="1" x14ac:dyDescent="0.4">
      <c r="B690" s="25"/>
      <c r="C690" s="23"/>
    </row>
    <row r="691" spans="2:3" ht="18.75" customHeight="1" x14ac:dyDescent="0.4">
      <c r="B691" s="25"/>
      <c r="C691" s="23"/>
    </row>
    <row r="692" spans="2:3" ht="18.75" customHeight="1" x14ac:dyDescent="0.4">
      <c r="B692" s="25"/>
      <c r="C692" s="23"/>
    </row>
    <row r="693" spans="2:3" ht="18.75" customHeight="1" x14ac:dyDescent="0.4">
      <c r="B693" s="25"/>
      <c r="C693" s="23"/>
    </row>
    <row r="694" spans="2:3" ht="18.75" customHeight="1" x14ac:dyDescent="0.4">
      <c r="B694" s="25"/>
      <c r="C694" s="23"/>
    </row>
    <row r="695" spans="2:3" ht="18.75" customHeight="1" x14ac:dyDescent="0.4">
      <c r="B695" s="25"/>
      <c r="C695" s="23"/>
    </row>
    <row r="696" spans="2:3" ht="18.75" customHeight="1" x14ac:dyDescent="0.4">
      <c r="B696" s="25"/>
      <c r="C696" s="23"/>
    </row>
    <row r="697" spans="2:3" ht="18.75" customHeight="1" x14ac:dyDescent="0.4">
      <c r="B697" s="25"/>
      <c r="C697" s="23"/>
    </row>
    <row r="698" spans="2:3" ht="18.75" customHeight="1" x14ac:dyDescent="0.4">
      <c r="B698" s="25"/>
      <c r="C698" s="23"/>
    </row>
    <row r="699" spans="2:3" ht="18.75" customHeight="1" x14ac:dyDescent="0.4">
      <c r="B699" s="25"/>
      <c r="C699" s="23"/>
    </row>
    <row r="700" spans="2:3" ht="18.75" customHeight="1" x14ac:dyDescent="0.4">
      <c r="B700" s="25"/>
      <c r="C700" s="23"/>
    </row>
    <row r="701" spans="2:3" ht="18.75" customHeight="1" x14ac:dyDescent="0.4">
      <c r="B701" s="25"/>
      <c r="C701" s="23"/>
    </row>
    <row r="702" spans="2:3" ht="18.75" customHeight="1" x14ac:dyDescent="0.4">
      <c r="B702" s="25"/>
      <c r="C702" s="23"/>
    </row>
    <row r="703" spans="2:3" ht="18.75" customHeight="1" x14ac:dyDescent="0.4">
      <c r="B703" s="25"/>
      <c r="C703" s="23"/>
    </row>
    <row r="704" spans="2:3" ht="18.75" customHeight="1" x14ac:dyDescent="0.4">
      <c r="B704" s="25"/>
      <c r="C704" s="23"/>
    </row>
    <row r="705" spans="2:3" ht="18.75" customHeight="1" x14ac:dyDescent="0.4">
      <c r="B705" s="25"/>
      <c r="C705" s="23"/>
    </row>
    <row r="706" spans="2:3" ht="18.75" customHeight="1" x14ac:dyDescent="0.4">
      <c r="B706" s="25"/>
      <c r="C706" s="23"/>
    </row>
    <row r="707" spans="2:3" ht="18.75" customHeight="1" x14ac:dyDescent="0.4">
      <c r="B707" s="25"/>
      <c r="C707" s="23"/>
    </row>
    <row r="708" spans="2:3" ht="18.75" customHeight="1" x14ac:dyDescent="0.4">
      <c r="B708" s="25"/>
      <c r="C708" s="23"/>
    </row>
    <row r="709" spans="2:3" ht="18.75" customHeight="1" x14ac:dyDescent="0.4">
      <c r="B709" s="25"/>
      <c r="C709" s="23"/>
    </row>
    <row r="710" spans="2:3" ht="18.75" customHeight="1" x14ac:dyDescent="0.4">
      <c r="B710" s="25"/>
      <c r="C710" s="23"/>
    </row>
    <row r="711" spans="2:3" ht="18.75" customHeight="1" x14ac:dyDescent="0.4">
      <c r="B711" s="25"/>
      <c r="C711" s="23"/>
    </row>
    <row r="712" spans="2:3" ht="18.75" customHeight="1" x14ac:dyDescent="0.4">
      <c r="B712" s="25"/>
      <c r="C712" s="23"/>
    </row>
    <row r="713" spans="2:3" ht="18.75" customHeight="1" x14ac:dyDescent="0.4">
      <c r="B713" s="25"/>
      <c r="C713" s="23"/>
    </row>
    <row r="714" spans="2:3" ht="18.75" customHeight="1" x14ac:dyDescent="0.4">
      <c r="B714" s="25"/>
      <c r="C714" s="23"/>
    </row>
    <row r="715" spans="2:3" ht="18.75" customHeight="1" x14ac:dyDescent="0.4">
      <c r="B715" s="25"/>
      <c r="C715" s="23"/>
    </row>
    <row r="716" spans="2:3" ht="18.75" customHeight="1" x14ac:dyDescent="0.4">
      <c r="B716" s="25"/>
      <c r="C716" s="23"/>
    </row>
    <row r="717" spans="2:3" ht="18.75" customHeight="1" x14ac:dyDescent="0.4">
      <c r="B717" s="25"/>
      <c r="C717" s="23"/>
    </row>
    <row r="718" spans="2:3" ht="18.75" customHeight="1" x14ac:dyDescent="0.4">
      <c r="B718" s="25"/>
      <c r="C718" s="23"/>
    </row>
    <row r="719" spans="2:3" ht="18.75" customHeight="1" x14ac:dyDescent="0.4">
      <c r="B719" s="25"/>
      <c r="C719" s="23"/>
    </row>
    <row r="720" spans="2:3" ht="18.75" customHeight="1" x14ac:dyDescent="0.4">
      <c r="B720" s="25"/>
      <c r="C720" s="23"/>
    </row>
    <row r="721" spans="2:3" ht="18.75" customHeight="1" x14ac:dyDescent="0.4">
      <c r="B721" s="25"/>
      <c r="C721" s="23"/>
    </row>
    <row r="722" spans="2:3" ht="18.75" customHeight="1" x14ac:dyDescent="0.4">
      <c r="B722" s="25"/>
      <c r="C722" s="23"/>
    </row>
    <row r="723" spans="2:3" ht="18.75" customHeight="1" x14ac:dyDescent="0.4">
      <c r="B723" s="25"/>
      <c r="C723" s="23"/>
    </row>
    <row r="724" spans="2:3" ht="18.75" customHeight="1" x14ac:dyDescent="0.4">
      <c r="B724" s="25"/>
      <c r="C724" s="23"/>
    </row>
    <row r="725" spans="2:3" ht="18.75" customHeight="1" x14ac:dyDescent="0.4">
      <c r="B725" s="25"/>
      <c r="C725" s="23"/>
    </row>
    <row r="726" spans="2:3" ht="18.75" customHeight="1" x14ac:dyDescent="0.4">
      <c r="B726" s="25"/>
      <c r="C726" s="23"/>
    </row>
    <row r="727" spans="2:3" ht="18.75" customHeight="1" x14ac:dyDescent="0.4">
      <c r="B727" s="25"/>
      <c r="C727" s="23"/>
    </row>
    <row r="728" spans="2:3" ht="18.75" customHeight="1" x14ac:dyDescent="0.4">
      <c r="B728" s="25"/>
      <c r="C728" s="23"/>
    </row>
    <row r="729" spans="2:3" ht="18.75" customHeight="1" x14ac:dyDescent="0.4">
      <c r="B729" s="25"/>
      <c r="C729" s="23"/>
    </row>
    <row r="730" spans="2:3" ht="18.75" customHeight="1" x14ac:dyDescent="0.4">
      <c r="B730" s="25"/>
      <c r="C730" s="23"/>
    </row>
    <row r="731" spans="2:3" ht="18.75" customHeight="1" x14ac:dyDescent="0.4">
      <c r="B731" s="25"/>
      <c r="C731" s="23"/>
    </row>
    <row r="732" spans="2:3" ht="18.75" customHeight="1" x14ac:dyDescent="0.4">
      <c r="B732" s="25"/>
      <c r="C732" s="23"/>
    </row>
    <row r="733" spans="2:3" ht="18.75" customHeight="1" x14ac:dyDescent="0.4">
      <c r="B733" s="25"/>
      <c r="C733" s="23"/>
    </row>
    <row r="734" spans="2:3" ht="18.75" customHeight="1" x14ac:dyDescent="0.4">
      <c r="B734" s="25"/>
      <c r="C734" s="23"/>
    </row>
    <row r="735" spans="2:3" ht="18.75" customHeight="1" x14ac:dyDescent="0.4">
      <c r="B735" s="25"/>
      <c r="C735" s="23"/>
    </row>
    <row r="736" spans="2:3" ht="18.75" customHeight="1" x14ac:dyDescent="0.4">
      <c r="B736" s="25"/>
      <c r="C736" s="23"/>
    </row>
    <row r="737" spans="2:3" ht="18.75" customHeight="1" x14ac:dyDescent="0.4">
      <c r="B737" s="25"/>
      <c r="C737" s="23"/>
    </row>
    <row r="738" spans="2:3" ht="18.75" customHeight="1" x14ac:dyDescent="0.4">
      <c r="B738" s="25"/>
      <c r="C738" s="23"/>
    </row>
    <row r="739" spans="2:3" ht="18.75" customHeight="1" x14ac:dyDescent="0.4">
      <c r="B739" s="25"/>
      <c r="C739" s="23"/>
    </row>
    <row r="740" spans="2:3" ht="18.75" customHeight="1" x14ac:dyDescent="0.4">
      <c r="B740" s="25"/>
      <c r="C740" s="23"/>
    </row>
    <row r="741" spans="2:3" ht="18.75" customHeight="1" x14ac:dyDescent="0.4">
      <c r="B741" s="25"/>
      <c r="C741" s="23"/>
    </row>
    <row r="742" spans="2:3" ht="18.75" customHeight="1" x14ac:dyDescent="0.4">
      <c r="B742" s="25"/>
      <c r="C742" s="23"/>
    </row>
    <row r="743" spans="2:3" ht="18.75" customHeight="1" x14ac:dyDescent="0.4">
      <c r="B743" s="25"/>
      <c r="C743" s="23"/>
    </row>
    <row r="744" spans="2:3" ht="18.75" customHeight="1" x14ac:dyDescent="0.4">
      <c r="B744" s="25"/>
      <c r="C744" s="23"/>
    </row>
    <row r="745" spans="2:3" ht="18.75" customHeight="1" x14ac:dyDescent="0.4">
      <c r="B745" s="25"/>
      <c r="C745" s="23"/>
    </row>
    <row r="746" spans="2:3" ht="18.75" customHeight="1" x14ac:dyDescent="0.4">
      <c r="B746" s="25"/>
      <c r="C746" s="23"/>
    </row>
    <row r="747" spans="2:3" ht="18.75" customHeight="1" x14ac:dyDescent="0.4">
      <c r="B747" s="25"/>
      <c r="C747" s="23"/>
    </row>
    <row r="748" spans="2:3" ht="18.75" customHeight="1" x14ac:dyDescent="0.4">
      <c r="B748" s="25"/>
      <c r="C748" s="23"/>
    </row>
    <row r="749" spans="2:3" ht="18.75" customHeight="1" x14ac:dyDescent="0.4">
      <c r="B749" s="25"/>
      <c r="C749" s="23"/>
    </row>
    <row r="750" spans="2:3" ht="18.75" customHeight="1" x14ac:dyDescent="0.4">
      <c r="B750" s="25"/>
      <c r="C750" s="23"/>
    </row>
    <row r="751" spans="2:3" ht="18.75" customHeight="1" x14ac:dyDescent="0.4">
      <c r="B751" s="25"/>
      <c r="C751" s="23"/>
    </row>
    <row r="752" spans="2:3" ht="18.75" customHeight="1" x14ac:dyDescent="0.4">
      <c r="B752" s="25"/>
      <c r="C752" s="23"/>
    </row>
    <row r="753" spans="2:3" ht="18.75" customHeight="1" x14ac:dyDescent="0.4">
      <c r="B753" s="25"/>
      <c r="C753" s="23"/>
    </row>
    <row r="754" spans="2:3" ht="18.75" customHeight="1" x14ac:dyDescent="0.4">
      <c r="B754" s="25"/>
      <c r="C754" s="23"/>
    </row>
    <row r="755" spans="2:3" ht="18.75" customHeight="1" x14ac:dyDescent="0.4">
      <c r="B755" s="25"/>
      <c r="C755" s="23"/>
    </row>
    <row r="756" spans="2:3" ht="18.75" customHeight="1" x14ac:dyDescent="0.4">
      <c r="B756" s="25"/>
      <c r="C756" s="23"/>
    </row>
    <row r="757" spans="2:3" ht="18.75" customHeight="1" x14ac:dyDescent="0.4">
      <c r="B757" s="25"/>
      <c r="C757" s="23"/>
    </row>
    <row r="758" spans="2:3" ht="18.75" customHeight="1" x14ac:dyDescent="0.4">
      <c r="B758" s="25"/>
      <c r="C758" s="23"/>
    </row>
    <row r="759" spans="2:3" ht="18.75" customHeight="1" x14ac:dyDescent="0.4">
      <c r="B759" s="25"/>
      <c r="C759" s="23"/>
    </row>
    <row r="760" spans="2:3" ht="18.75" customHeight="1" x14ac:dyDescent="0.4">
      <c r="B760" s="25"/>
      <c r="C760" s="23"/>
    </row>
    <row r="761" spans="2:3" ht="18.75" customHeight="1" x14ac:dyDescent="0.4">
      <c r="B761" s="25"/>
      <c r="C761" s="23"/>
    </row>
    <row r="762" spans="2:3" ht="18.75" customHeight="1" x14ac:dyDescent="0.4">
      <c r="B762" s="25"/>
      <c r="C762" s="23"/>
    </row>
    <row r="763" spans="2:3" ht="18.75" customHeight="1" x14ac:dyDescent="0.4">
      <c r="B763" s="25"/>
      <c r="C763" s="23"/>
    </row>
    <row r="764" spans="2:3" ht="18.75" customHeight="1" x14ac:dyDescent="0.4">
      <c r="B764" s="25"/>
      <c r="C764" s="23"/>
    </row>
    <row r="765" spans="2:3" ht="18.75" customHeight="1" x14ac:dyDescent="0.4">
      <c r="B765" s="25"/>
      <c r="C765" s="23"/>
    </row>
    <row r="766" spans="2:3" ht="18.75" customHeight="1" x14ac:dyDescent="0.4">
      <c r="B766" s="25"/>
      <c r="C766" s="23"/>
    </row>
    <row r="767" spans="2:3" ht="18.75" customHeight="1" x14ac:dyDescent="0.4">
      <c r="B767" s="25"/>
      <c r="C767" s="23"/>
    </row>
    <row r="768" spans="2:3" ht="18.75" customHeight="1" x14ac:dyDescent="0.4">
      <c r="B768" s="25"/>
      <c r="C768" s="23"/>
    </row>
    <row r="769" spans="2:3" ht="18.75" customHeight="1" x14ac:dyDescent="0.4">
      <c r="B769" s="25"/>
      <c r="C769" s="23"/>
    </row>
    <row r="770" spans="2:3" ht="18.75" customHeight="1" x14ac:dyDescent="0.4">
      <c r="B770" s="25"/>
      <c r="C770" s="23"/>
    </row>
    <row r="771" spans="2:3" ht="18.75" customHeight="1" x14ac:dyDescent="0.4">
      <c r="B771" s="25"/>
      <c r="C771" s="23"/>
    </row>
    <row r="772" spans="2:3" ht="18.75" customHeight="1" x14ac:dyDescent="0.4">
      <c r="B772" s="25"/>
      <c r="C772" s="23"/>
    </row>
    <row r="773" spans="2:3" ht="18.75" customHeight="1" x14ac:dyDescent="0.4">
      <c r="B773" s="25"/>
      <c r="C773" s="23"/>
    </row>
    <row r="774" spans="2:3" ht="18.75" customHeight="1" x14ac:dyDescent="0.4">
      <c r="B774" s="25"/>
      <c r="C774" s="23"/>
    </row>
    <row r="775" spans="2:3" ht="18.75" customHeight="1" x14ac:dyDescent="0.4">
      <c r="B775" s="25"/>
      <c r="C775" s="23"/>
    </row>
    <row r="776" spans="2:3" ht="18.75" customHeight="1" x14ac:dyDescent="0.4">
      <c r="B776" s="25"/>
      <c r="C776" s="23"/>
    </row>
    <row r="777" spans="2:3" ht="18.75" customHeight="1" x14ac:dyDescent="0.4">
      <c r="B777" s="25"/>
      <c r="C777" s="23"/>
    </row>
    <row r="778" spans="2:3" ht="18.75" customHeight="1" x14ac:dyDescent="0.4">
      <c r="B778" s="25"/>
      <c r="C778" s="23"/>
    </row>
    <row r="779" spans="2:3" ht="18.75" customHeight="1" x14ac:dyDescent="0.4">
      <c r="B779" s="25"/>
      <c r="C779" s="23"/>
    </row>
    <row r="780" spans="2:3" ht="18.75" customHeight="1" x14ac:dyDescent="0.4">
      <c r="B780" s="25"/>
      <c r="C780" s="23"/>
    </row>
    <row r="781" spans="2:3" ht="18.75" customHeight="1" x14ac:dyDescent="0.4">
      <c r="B781" s="25"/>
      <c r="C781" s="23"/>
    </row>
    <row r="782" spans="2:3" ht="18.75" customHeight="1" x14ac:dyDescent="0.4">
      <c r="B782" s="25"/>
      <c r="C782" s="23"/>
    </row>
    <row r="783" spans="2:3" ht="18.75" customHeight="1" x14ac:dyDescent="0.4">
      <c r="B783" s="25"/>
      <c r="C783" s="23"/>
    </row>
    <row r="784" spans="2:3" ht="18.75" customHeight="1" x14ac:dyDescent="0.4">
      <c r="B784" s="25"/>
      <c r="C784" s="23"/>
    </row>
    <row r="785" spans="2:3" ht="18.75" customHeight="1" x14ac:dyDescent="0.4">
      <c r="B785" s="25"/>
      <c r="C785" s="23"/>
    </row>
    <row r="786" spans="2:3" ht="18.75" customHeight="1" x14ac:dyDescent="0.4">
      <c r="B786" s="25"/>
      <c r="C786" s="23"/>
    </row>
    <row r="787" spans="2:3" ht="18.75" customHeight="1" x14ac:dyDescent="0.4">
      <c r="B787" s="25"/>
      <c r="C787" s="23"/>
    </row>
    <row r="788" spans="2:3" ht="18.75" customHeight="1" x14ac:dyDescent="0.4">
      <c r="B788" s="25"/>
      <c r="C788" s="23"/>
    </row>
    <row r="789" spans="2:3" ht="18.75" customHeight="1" x14ac:dyDescent="0.4">
      <c r="B789" s="25"/>
      <c r="C789" s="23"/>
    </row>
    <row r="790" spans="2:3" ht="18.75" customHeight="1" x14ac:dyDescent="0.4">
      <c r="B790" s="25"/>
      <c r="C790" s="23"/>
    </row>
    <row r="791" spans="2:3" ht="18.75" customHeight="1" x14ac:dyDescent="0.4">
      <c r="B791" s="25"/>
      <c r="C791" s="23"/>
    </row>
    <row r="792" spans="2:3" ht="18.75" customHeight="1" x14ac:dyDescent="0.4">
      <c r="B792" s="25"/>
      <c r="C792" s="23"/>
    </row>
    <row r="793" spans="2:3" ht="18.75" customHeight="1" x14ac:dyDescent="0.4">
      <c r="B793" s="25"/>
      <c r="C793" s="23"/>
    </row>
    <row r="794" spans="2:3" ht="18.75" customHeight="1" x14ac:dyDescent="0.4">
      <c r="B794" s="25"/>
      <c r="C794" s="23"/>
    </row>
    <row r="795" spans="2:3" ht="18.75" customHeight="1" x14ac:dyDescent="0.4">
      <c r="B795" s="25"/>
      <c r="C795" s="23"/>
    </row>
    <row r="796" spans="2:3" ht="18.75" customHeight="1" x14ac:dyDescent="0.4">
      <c r="B796" s="25"/>
      <c r="C796" s="23"/>
    </row>
    <row r="797" spans="2:3" ht="18.75" customHeight="1" x14ac:dyDescent="0.4">
      <c r="B797" s="25"/>
      <c r="C797" s="23"/>
    </row>
    <row r="798" spans="2:3" ht="18.75" customHeight="1" x14ac:dyDescent="0.4">
      <c r="B798" s="25"/>
      <c r="C798" s="23"/>
    </row>
    <row r="799" spans="2:3" ht="18.75" customHeight="1" x14ac:dyDescent="0.4">
      <c r="B799" s="25"/>
      <c r="C799" s="23"/>
    </row>
    <row r="800" spans="2:3" ht="18.75" customHeight="1" x14ac:dyDescent="0.4">
      <c r="B800" s="25"/>
      <c r="C800" s="23"/>
    </row>
    <row r="801" spans="2:3" ht="18.75" customHeight="1" x14ac:dyDescent="0.4">
      <c r="B801" s="25"/>
      <c r="C801" s="23"/>
    </row>
    <row r="802" spans="2:3" ht="18.75" customHeight="1" x14ac:dyDescent="0.4">
      <c r="B802" s="25"/>
      <c r="C802" s="23"/>
    </row>
    <row r="803" spans="2:3" ht="18.75" customHeight="1" x14ac:dyDescent="0.4">
      <c r="B803" s="25"/>
      <c r="C803" s="23"/>
    </row>
    <row r="804" spans="2:3" ht="18.75" customHeight="1" x14ac:dyDescent="0.4">
      <c r="B804" s="25"/>
      <c r="C804" s="23"/>
    </row>
    <row r="805" spans="2:3" ht="18.75" customHeight="1" x14ac:dyDescent="0.4">
      <c r="B805" s="25"/>
      <c r="C805" s="23"/>
    </row>
    <row r="806" spans="2:3" ht="18.75" customHeight="1" x14ac:dyDescent="0.4">
      <c r="B806" s="25"/>
      <c r="C806" s="23"/>
    </row>
    <row r="807" spans="2:3" ht="18.75" customHeight="1" x14ac:dyDescent="0.4">
      <c r="B807" s="25"/>
      <c r="C807" s="23"/>
    </row>
    <row r="808" spans="2:3" ht="18.75" customHeight="1" x14ac:dyDescent="0.4">
      <c r="B808" s="25"/>
      <c r="C808" s="23"/>
    </row>
    <row r="809" spans="2:3" ht="18.75" customHeight="1" x14ac:dyDescent="0.4">
      <c r="B809" s="25"/>
      <c r="C809" s="23"/>
    </row>
    <row r="810" spans="2:3" ht="18.75" customHeight="1" x14ac:dyDescent="0.4">
      <c r="B810" s="25"/>
      <c r="C810" s="23"/>
    </row>
    <row r="811" spans="2:3" ht="18.75" customHeight="1" x14ac:dyDescent="0.4">
      <c r="B811" s="25"/>
      <c r="C811" s="23"/>
    </row>
    <row r="812" spans="2:3" ht="18.75" customHeight="1" x14ac:dyDescent="0.4">
      <c r="B812" s="25"/>
      <c r="C812" s="23"/>
    </row>
    <row r="813" spans="2:3" ht="18.75" customHeight="1" x14ac:dyDescent="0.4">
      <c r="B813" s="25"/>
      <c r="C813" s="23"/>
    </row>
    <row r="814" spans="2:3" ht="18.75" customHeight="1" x14ac:dyDescent="0.4">
      <c r="B814" s="25"/>
      <c r="C814" s="23"/>
    </row>
    <row r="815" spans="2:3" ht="18.75" customHeight="1" x14ac:dyDescent="0.4">
      <c r="B815" s="25"/>
      <c r="C815" s="23"/>
    </row>
    <row r="816" spans="2:3" ht="18.75" customHeight="1" x14ac:dyDescent="0.4">
      <c r="B816" s="25"/>
      <c r="C816" s="23"/>
    </row>
    <row r="817" spans="2:3" ht="18.75" customHeight="1" x14ac:dyDescent="0.4">
      <c r="B817" s="25"/>
      <c r="C817" s="23"/>
    </row>
    <row r="818" spans="2:3" ht="18.75" customHeight="1" x14ac:dyDescent="0.4">
      <c r="B818" s="25"/>
      <c r="C818" s="23"/>
    </row>
    <row r="819" spans="2:3" ht="18.75" customHeight="1" x14ac:dyDescent="0.4">
      <c r="B819" s="25"/>
      <c r="C819" s="23"/>
    </row>
    <row r="820" spans="2:3" ht="18.75" customHeight="1" x14ac:dyDescent="0.4">
      <c r="B820" s="25"/>
      <c r="C820" s="23"/>
    </row>
    <row r="821" spans="2:3" ht="18.75" customHeight="1" x14ac:dyDescent="0.4">
      <c r="B821" s="25"/>
      <c r="C821" s="23"/>
    </row>
    <row r="822" spans="2:3" ht="18.75" customHeight="1" x14ac:dyDescent="0.4">
      <c r="B822" s="25"/>
      <c r="C822" s="23"/>
    </row>
    <row r="823" spans="2:3" ht="18.75" customHeight="1" x14ac:dyDescent="0.4">
      <c r="B823" s="25"/>
      <c r="C823" s="23"/>
    </row>
    <row r="824" spans="2:3" ht="18.75" customHeight="1" x14ac:dyDescent="0.4">
      <c r="B824" s="25"/>
      <c r="C824" s="23"/>
    </row>
    <row r="825" spans="2:3" ht="18.75" customHeight="1" x14ac:dyDescent="0.4">
      <c r="B825" s="25"/>
      <c r="C825" s="23"/>
    </row>
    <row r="826" spans="2:3" ht="18.75" customHeight="1" x14ac:dyDescent="0.4">
      <c r="B826" s="25"/>
      <c r="C826" s="23"/>
    </row>
    <row r="827" spans="2:3" ht="18.75" customHeight="1" x14ac:dyDescent="0.4">
      <c r="B827" s="25"/>
      <c r="C827" s="23"/>
    </row>
    <row r="828" spans="2:3" ht="18.75" customHeight="1" x14ac:dyDescent="0.4">
      <c r="B828" s="25"/>
      <c r="C828" s="23"/>
    </row>
    <row r="829" spans="2:3" ht="18.75" customHeight="1" x14ac:dyDescent="0.4">
      <c r="B829" s="25"/>
      <c r="C829" s="23"/>
    </row>
    <row r="830" spans="2:3" ht="18.75" customHeight="1" x14ac:dyDescent="0.4">
      <c r="B830" s="25"/>
      <c r="C830" s="23"/>
    </row>
    <row r="831" spans="2:3" ht="18.75" customHeight="1" x14ac:dyDescent="0.4">
      <c r="B831" s="25"/>
      <c r="C831" s="23"/>
    </row>
    <row r="832" spans="2:3" ht="18.75" customHeight="1" x14ac:dyDescent="0.4">
      <c r="B832" s="25"/>
      <c r="C832" s="23"/>
    </row>
    <row r="833" spans="2:3" ht="18.75" customHeight="1" x14ac:dyDescent="0.4">
      <c r="B833" s="25"/>
      <c r="C833" s="23"/>
    </row>
    <row r="834" spans="2:3" ht="18.75" customHeight="1" x14ac:dyDescent="0.4">
      <c r="B834" s="25"/>
      <c r="C834" s="23"/>
    </row>
    <row r="835" spans="2:3" ht="18.75" customHeight="1" x14ac:dyDescent="0.4">
      <c r="B835" s="25"/>
      <c r="C835" s="23"/>
    </row>
    <row r="836" spans="2:3" ht="18.75" customHeight="1" x14ac:dyDescent="0.4">
      <c r="B836" s="25"/>
      <c r="C836" s="23"/>
    </row>
    <row r="837" spans="2:3" ht="18.75" customHeight="1" x14ac:dyDescent="0.4">
      <c r="B837" s="25"/>
      <c r="C837" s="23"/>
    </row>
    <row r="838" spans="2:3" ht="18.75" customHeight="1" x14ac:dyDescent="0.4">
      <c r="B838" s="25"/>
      <c r="C838" s="23"/>
    </row>
    <row r="839" spans="2:3" ht="18.75" customHeight="1" x14ac:dyDescent="0.4">
      <c r="B839" s="25"/>
      <c r="C839" s="23"/>
    </row>
    <row r="840" spans="2:3" ht="18.75" customHeight="1" x14ac:dyDescent="0.4">
      <c r="B840" s="25"/>
      <c r="C840" s="23"/>
    </row>
    <row r="841" spans="2:3" ht="18.75" customHeight="1" x14ac:dyDescent="0.4">
      <c r="B841" s="25"/>
      <c r="C841" s="23"/>
    </row>
    <row r="842" spans="2:3" ht="18.75" customHeight="1" x14ac:dyDescent="0.4">
      <c r="B842" s="25"/>
      <c r="C842" s="23"/>
    </row>
    <row r="843" spans="2:3" ht="18.75" customHeight="1" x14ac:dyDescent="0.4">
      <c r="B843" s="25"/>
      <c r="C843" s="23"/>
    </row>
    <row r="844" spans="2:3" ht="18.75" customHeight="1" x14ac:dyDescent="0.4">
      <c r="B844" s="25"/>
      <c r="C844" s="23"/>
    </row>
    <row r="845" spans="2:3" ht="18.75" customHeight="1" x14ac:dyDescent="0.4">
      <c r="B845" s="25"/>
      <c r="C845" s="23"/>
    </row>
    <row r="846" spans="2:3" ht="18.75" customHeight="1" x14ac:dyDescent="0.4">
      <c r="B846" s="25"/>
      <c r="C846" s="23"/>
    </row>
    <row r="847" spans="2:3" ht="18.75" customHeight="1" x14ac:dyDescent="0.4">
      <c r="B847" s="25"/>
      <c r="C847" s="23"/>
    </row>
    <row r="848" spans="2:3" ht="18.75" customHeight="1" x14ac:dyDescent="0.4">
      <c r="B848" s="25"/>
      <c r="C848" s="23"/>
    </row>
    <row r="849" spans="2:3" ht="18.75" customHeight="1" x14ac:dyDescent="0.4">
      <c r="B849" s="25"/>
      <c r="C849" s="23"/>
    </row>
    <row r="850" spans="2:3" ht="18.75" customHeight="1" x14ac:dyDescent="0.4">
      <c r="B850" s="25"/>
      <c r="C850" s="23"/>
    </row>
    <row r="851" spans="2:3" ht="18.75" customHeight="1" x14ac:dyDescent="0.4">
      <c r="B851" s="25"/>
      <c r="C851" s="23"/>
    </row>
    <row r="852" spans="2:3" ht="18.75" customHeight="1" x14ac:dyDescent="0.4">
      <c r="B852" s="25"/>
      <c r="C852" s="23"/>
    </row>
    <row r="853" spans="2:3" ht="18.75" customHeight="1" x14ac:dyDescent="0.4">
      <c r="B853" s="25"/>
      <c r="C853" s="23"/>
    </row>
    <row r="854" spans="2:3" ht="18.75" customHeight="1" x14ac:dyDescent="0.4">
      <c r="B854" s="25"/>
      <c r="C854" s="23"/>
    </row>
    <row r="855" spans="2:3" ht="18.75" customHeight="1" x14ac:dyDescent="0.4">
      <c r="B855" s="25"/>
      <c r="C855" s="23"/>
    </row>
    <row r="856" spans="2:3" ht="18.75" customHeight="1" x14ac:dyDescent="0.4">
      <c r="B856" s="25"/>
      <c r="C856" s="23"/>
    </row>
    <row r="857" spans="2:3" ht="18.75" customHeight="1" x14ac:dyDescent="0.4">
      <c r="B857" s="25"/>
      <c r="C857" s="23"/>
    </row>
    <row r="858" spans="2:3" ht="18.75" customHeight="1" x14ac:dyDescent="0.4">
      <c r="B858" s="25"/>
      <c r="C858" s="23"/>
    </row>
    <row r="859" spans="2:3" ht="18.75" customHeight="1" x14ac:dyDescent="0.4">
      <c r="B859" s="25"/>
      <c r="C859" s="23"/>
    </row>
    <row r="860" spans="2:3" ht="18.75" customHeight="1" x14ac:dyDescent="0.4">
      <c r="B860" s="25"/>
      <c r="C860" s="23"/>
    </row>
    <row r="861" spans="2:3" ht="18.75" customHeight="1" x14ac:dyDescent="0.4">
      <c r="B861" s="25"/>
      <c r="C861" s="23"/>
    </row>
    <row r="862" spans="2:3" ht="18.75" customHeight="1" x14ac:dyDescent="0.4">
      <c r="B862" s="25"/>
      <c r="C862" s="23"/>
    </row>
    <row r="863" spans="2:3" ht="18.75" customHeight="1" x14ac:dyDescent="0.4">
      <c r="B863" s="25"/>
      <c r="C863" s="23"/>
    </row>
    <row r="864" spans="2:3" ht="18.75" customHeight="1" x14ac:dyDescent="0.4">
      <c r="B864" s="25"/>
      <c r="C864" s="23"/>
    </row>
    <row r="865" spans="2:3" ht="18.75" customHeight="1" x14ac:dyDescent="0.4">
      <c r="B865" s="25"/>
      <c r="C865" s="23"/>
    </row>
    <row r="866" spans="2:3" ht="18.75" customHeight="1" x14ac:dyDescent="0.4">
      <c r="B866" s="25"/>
      <c r="C866" s="23"/>
    </row>
    <row r="867" spans="2:3" ht="18.75" customHeight="1" x14ac:dyDescent="0.4">
      <c r="B867" s="25"/>
      <c r="C867" s="23"/>
    </row>
    <row r="868" spans="2:3" ht="18.75" customHeight="1" x14ac:dyDescent="0.4">
      <c r="B868" s="25"/>
      <c r="C868" s="23"/>
    </row>
    <row r="869" spans="2:3" ht="18.75" customHeight="1" x14ac:dyDescent="0.4">
      <c r="B869" s="25"/>
      <c r="C869" s="23"/>
    </row>
    <row r="870" spans="2:3" ht="18.75" customHeight="1" x14ac:dyDescent="0.4">
      <c r="B870" s="25"/>
      <c r="C870" s="23"/>
    </row>
    <row r="871" spans="2:3" ht="18.75" customHeight="1" x14ac:dyDescent="0.4">
      <c r="B871" s="25"/>
      <c r="C871" s="23"/>
    </row>
    <row r="872" spans="2:3" ht="18.75" customHeight="1" x14ac:dyDescent="0.4">
      <c r="B872" s="25"/>
      <c r="C872" s="23"/>
    </row>
    <row r="873" spans="2:3" ht="18.75" customHeight="1" x14ac:dyDescent="0.4">
      <c r="B873" s="25"/>
      <c r="C873" s="23"/>
    </row>
    <row r="874" spans="2:3" ht="18.75" customHeight="1" x14ac:dyDescent="0.4">
      <c r="B874" s="25"/>
      <c r="C874" s="23"/>
    </row>
    <row r="875" spans="2:3" ht="18.75" customHeight="1" x14ac:dyDescent="0.4">
      <c r="B875" s="25"/>
      <c r="C875" s="23"/>
    </row>
    <row r="876" spans="2:3" ht="18.75" customHeight="1" x14ac:dyDescent="0.4">
      <c r="B876" s="25"/>
      <c r="C876" s="23"/>
    </row>
    <row r="877" spans="2:3" ht="18.75" customHeight="1" x14ac:dyDescent="0.4">
      <c r="B877" s="25"/>
      <c r="C877" s="23"/>
    </row>
    <row r="878" spans="2:3" ht="18.75" customHeight="1" x14ac:dyDescent="0.4">
      <c r="B878" s="25"/>
      <c r="C878" s="23"/>
    </row>
    <row r="879" spans="2:3" ht="18.75" customHeight="1" x14ac:dyDescent="0.4">
      <c r="B879" s="25"/>
      <c r="C879" s="23"/>
    </row>
    <row r="880" spans="2:3" ht="18.75" customHeight="1" x14ac:dyDescent="0.4">
      <c r="B880" s="25"/>
      <c r="C880" s="23"/>
    </row>
    <row r="881" spans="2:3" ht="18.75" customHeight="1" x14ac:dyDescent="0.4">
      <c r="B881" s="25"/>
      <c r="C881" s="23"/>
    </row>
    <row r="882" spans="2:3" ht="18.75" customHeight="1" x14ac:dyDescent="0.4">
      <c r="B882" s="25"/>
      <c r="C882" s="23"/>
    </row>
    <row r="883" spans="2:3" ht="18.75" customHeight="1" x14ac:dyDescent="0.4">
      <c r="B883" s="25"/>
      <c r="C883" s="23"/>
    </row>
    <row r="884" spans="2:3" ht="18.75" customHeight="1" x14ac:dyDescent="0.4">
      <c r="B884" s="25"/>
      <c r="C884" s="23"/>
    </row>
    <row r="885" spans="2:3" ht="18.75" customHeight="1" x14ac:dyDescent="0.4">
      <c r="B885" s="25"/>
      <c r="C885" s="23"/>
    </row>
    <row r="886" spans="2:3" ht="18.75" customHeight="1" x14ac:dyDescent="0.4">
      <c r="B886" s="25"/>
      <c r="C886" s="23"/>
    </row>
    <row r="887" spans="2:3" ht="18.75" customHeight="1" x14ac:dyDescent="0.4">
      <c r="B887" s="25"/>
      <c r="C887" s="23"/>
    </row>
    <row r="888" spans="2:3" ht="18.75" customHeight="1" x14ac:dyDescent="0.4">
      <c r="B888" s="25"/>
      <c r="C888" s="23"/>
    </row>
    <row r="889" spans="2:3" ht="18.75" customHeight="1" x14ac:dyDescent="0.4">
      <c r="B889" s="25"/>
      <c r="C889" s="23"/>
    </row>
    <row r="890" spans="2:3" ht="18.75" customHeight="1" x14ac:dyDescent="0.4">
      <c r="B890" s="25"/>
      <c r="C890" s="23"/>
    </row>
    <row r="891" spans="2:3" ht="18.75" customHeight="1" x14ac:dyDescent="0.4">
      <c r="B891" s="25"/>
      <c r="C891" s="23"/>
    </row>
    <row r="892" spans="2:3" ht="18.75" customHeight="1" x14ac:dyDescent="0.4">
      <c r="B892" s="25"/>
      <c r="C892" s="23"/>
    </row>
    <row r="893" spans="2:3" ht="18.75" customHeight="1" x14ac:dyDescent="0.4">
      <c r="B893" s="25"/>
      <c r="C893" s="23"/>
    </row>
    <row r="894" spans="2:3" ht="18.75" customHeight="1" x14ac:dyDescent="0.4">
      <c r="B894" s="25"/>
      <c r="C894" s="23"/>
    </row>
    <row r="895" spans="2:3" ht="18.75" customHeight="1" x14ac:dyDescent="0.4">
      <c r="B895" s="25"/>
      <c r="C895" s="23"/>
    </row>
    <row r="896" spans="2:3" ht="18.75" customHeight="1" x14ac:dyDescent="0.4">
      <c r="B896" s="25"/>
      <c r="C896" s="23"/>
    </row>
    <row r="897" spans="2:3" ht="18.75" customHeight="1" x14ac:dyDescent="0.4">
      <c r="B897" s="25"/>
      <c r="C897" s="23"/>
    </row>
    <row r="898" spans="2:3" ht="18.75" customHeight="1" x14ac:dyDescent="0.4">
      <c r="B898" s="25"/>
      <c r="C898" s="23"/>
    </row>
    <row r="899" spans="2:3" ht="18.75" customHeight="1" x14ac:dyDescent="0.4">
      <c r="B899" s="25"/>
      <c r="C899" s="23"/>
    </row>
    <row r="900" spans="2:3" ht="18.75" customHeight="1" x14ac:dyDescent="0.4">
      <c r="B900" s="25"/>
      <c r="C900" s="23"/>
    </row>
    <row r="901" spans="2:3" ht="18.75" customHeight="1" x14ac:dyDescent="0.4">
      <c r="B901" s="25"/>
      <c r="C901" s="23"/>
    </row>
    <row r="902" spans="2:3" ht="18.75" customHeight="1" x14ac:dyDescent="0.4">
      <c r="B902" s="25"/>
      <c r="C902" s="23"/>
    </row>
    <row r="903" spans="2:3" ht="18.75" customHeight="1" x14ac:dyDescent="0.4">
      <c r="B903" s="25"/>
      <c r="C903" s="23"/>
    </row>
    <row r="904" spans="2:3" ht="18.75" customHeight="1" x14ac:dyDescent="0.4">
      <c r="B904" s="25"/>
      <c r="C904" s="23"/>
    </row>
    <row r="905" spans="2:3" ht="18.75" customHeight="1" x14ac:dyDescent="0.4">
      <c r="B905" s="25"/>
      <c r="C905" s="23"/>
    </row>
    <row r="906" spans="2:3" ht="18.75" customHeight="1" x14ac:dyDescent="0.4">
      <c r="B906" s="25"/>
      <c r="C906" s="23"/>
    </row>
    <row r="907" spans="2:3" ht="18.75" customHeight="1" x14ac:dyDescent="0.4">
      <c r="B907" s="25"/>
      <c r="C907" s="23"/>
    </row>
    <row r="908" spans="2:3" ht="18.75" customHeight="1" x14ac:dyDescent="0.4">
      <c r="B908" s="25"/>
      <c r="C908" s="23"/>
    </row>
    <row r="909" spans="2:3" ht="18.75" customHeight="1" x14ac:dyDescent="0.4">
      <c r="B909" s="25"/>
      <c r="C909" s="23"/>
    </row>
    <row r="910" spans="2:3" ht="18.75" customHeight="1" x14ac:dyDescent="0.4">
      <c r="B910" s="25"/>
      <c r="C910" s="23"/>
    </row>
    <row r="911" spans="2:3" ht="18.75" customHeight="1" x14ac:dyDescent="0.4">
      <c r="B911" s="25"/>
      <c r="C911" s="23"/>
    </row>
    <row r="912" spans="2:3" ht="18.75" customHeight="1" x14ac:dyDescent="0.4">
      <c r="B912" s="25"/>
      <c r="C912" s="23"/>
    </row>
    <row r="913" spans="2:3" ht="18.75" customHeight="1" x14ac:dyDescent="0.4">
      <c r="B913" s="25"/>
      <c r="C913" s="23"/>
    </row>
    <row r="914" spans="2:3" ht="18.75" customHeight="1" x14ac:dyDescent="0.4">
      <c r="B914" s="25"/>
      <c r="C914" s="23"/>
    </row>
    <row r="915" spans="2:3" ht="18.75" customHeight="1" x14ac:dyDescent="0.4">
      <c r="B915" s="25"/>
      <c r="C915" s="23"/>
    </row>
    <row r="916" spans="2:3" ht="18.75" customHeight="1" x14ac:dyDescent="0.4">
      <c r="B916" s="25"/>
      <c r="C916" s="23"/>
    </row>
    <row r="917" spans="2:3" ht="18.75" customHeight="1" x14ac:dyDescent="0.4">
      <c r="B917" s="25"/>
      <c r="C917" s="23"/>
    </row>
    <row r="918" spans="2:3" ht="18.75" customHeight="1" x14ac:dyDescent="0.4">
      <c r="B918" s="25"/>
      <c r="C918" s="23"/>
    </row>
    <row r="919" spans="2:3" ht="18.75" customHeight="1" x14ac:dyDescent="0.4">
      <c r="B919" s="25"/>
      <c r="C919" s="23"/>
    </row>
    <row r="920" spans="2:3" ht="18.75" customHeight="1" x14ac:dyDescent="0.4">
      <c r="B920" s="25"/>
      <c r="C920" s="23"/>
    </row>
    <row r="921" spans="2:3" ht="18.75" customHeight="1" x14ac:dyDescent="0.4">
      <c r="B921" s="25"/>
      <c r="C921" s="23"/>
    </row>
    <row r="922" spans="2:3" ht="18.75" customHeight="1" x14ac:dyDescent="0.4">
      <c r="B922" s="25"/>
      <c r="C922" s="23"/>
    </row>
    <row r="923" spans="2:3" ht="18.75" customHeight="1" x14ac:dyDescent="0.4">
      <c r="B923" s="25"/>
      <c r="C923" s="23"/>
    </row>
    <row r="924" spans="2:3" ht="18.75" customHeight="1" x14ac:dyDescent="0.4">
      <c r="B924" s="25"/>
      <c r="C924" s="23"/>
    </row>
    <row r="925" spans="2:3" ht="18.75" customHeight="1" x14ac:dyDescent="0.4">
      <c r="B925" s="25"/>
      <c r="C925" s="23"/>
    </row>
    <row r="926" spans="2:3" ht="18.75" customHeight="1" x14ac:dyDescent="0.4">
      <c r="B926" s="25"/>
      <c r="C926" s="23"/>
    </row>
    <row r="927" spans="2:3" ht="18.75" customHeight="1" x14ac:dyDescent="0.4">
      <c r="B927" s="25"/>
      <c r="C927" s="23"/>
    </row>
    <row r="928" spans="2:3" ht="18.75" customHeight="1" x14ac:dyDescent="0.4">
      <c r="B928" s="25"/>
      <c r="C928" s="23"/>
    </row>
    <row r="929" spans="2:3" ht="18.75" customHeight="1" x14ac:dyDescent="0.4">
      <c r="B929" s="25"/>
      <c r="C929" s="23"/>
    </row>
    <row r="930" spans="2:3" ht="18.75" customHeight="1" x14ac:dyDescent="0.4">
      <c r="B930" s="25"/>
      <c r="C930" s="23"/>
    </row>
    <row r="931" spans="2:3" ht="18.75" customHeight="1" x14ac:dyDescent="0.4">
      <c r="B931" s="25"/>
      <c r="C931" s="23"/>
    </row>
    <row r="932" spans="2:3" ht="18.75" customHeight="1" x14ac:dyDescent="0.4">
      <c r="B932" s="25"/>
      <c r="C932" s="23"/>
    </row>
    <row r="933" spans="2:3" ht="18.75" customHeight="1" x14ac:dyDescent="0.4">
      <c r="B933" s="25"/>
      <c r="C933" s="23"/>
    </row>
    <row r="934" spans="2:3" ht="18.75" customHeight="1" x14ac:dyDescent="0.4">
      <c r="B934" s="25"/>
      <c r="C934" s="23"/>
    </row>
    <row r="935" spans="2:3" ht="18.75" customHeight="1" x14ac:dyDescent="0.4">
      <c r="B935" s="25"/>
      <c r="C935" s="23"/>
    </row>
    <row r="936" spans="2:3" ht="18.75" customHeight="1" x14ac:dyDescent="0.4">
      <c r="B936" s="25"/>
      <c r="C936" s="23"/>
    </row>
    <row r="937" spans="2:3" ht="18.75" customHeight="1" x14ac:dyDescent="0.4">
      <c r="B937" s="25"/>
      <c r="C937" s="23"/>
    </row>
    <row r="938" spans="2:3" ht="18.75" customHeight="1" x14ac:dyDescent="0.4">
      <c r="B938" s="25"/>
      <c r="C938" s="23"/>
    </row>
    <row r="939" spans="2:3" ht="18.75" customHeight="1" x14ac:dyDescent="0.4">
      <c r="B939" s="25"/>
      <c r="C939" s="23"/>
    </row>
    <row r="940" spans="2:3" ht="18.75" customHeight="1" x14ac:dyDescent="0.4">
      <c r="B940" s="25"/>
      <c r="C940" s="23"/>
    </row>
    <row r="941" spans="2:3" ht="18.75" customHeight="1" x14ac:dyDescent="0.4">
      <c r="B941" s="25"/>
      <c r="C941" s="23"/>
    </row>
    <row r="942" spans="2:3" ht="18.75" customHeight="1" x14ac:dyDescent="0.4">
      <c r="B942" s="25"/>
      <c r="C942" s="23"/>
    </row>
    <row r="943" spans="2:3" ht="18.75" customHeight="1" x14ac:dyDescent="0.4">
      <c r="B943" s="25"/>
      <c r="C943" s="23"/>
    </row>
    <row r="944" spans="2:3" ht="18.75" customHeight="1" x14ac:dyDescent="0.4">
      <c r="B944" s="25"/>
      <c r="C944" s="23"/>
    </row>
    <row r="945" spans="2:3" ht="18.75" customHeight="1" x14ac:dyDescent="0.4">
      <c r="B945" s="25"/>
      <c r="C945" s="23"/>
    </row>
    <row r="946" spans="2:3" ht="18.75" customHeight="1" x14ac:dyDescent="0.4">
      <c r="B946" s="25"/>
      <c r="C946" s="23"/>
    </row>
    <row r="947" spans="2:3" ht="18.75" customHeight="1" x14ac:dyDescent="0.4">
      <c r="B947" s="25"/>
      <c r="C947" s="23"/>
    </row>
    <row r="948" spans="2:3" ht="18.75" customHeight="1" x14ac:dyDescent="0.4">
      <c r="B948" s="25"/>
      <c r="C948" s="23"/>
    </row>
    <row r="949" spans="2:3" ht="18.75" customHeight="1" x14ac:dyDescent="0.4">
      <c r="B949" s="25"/>
      <c r="C949" s="23"/>
    </row>
    <row r="950" spans="2:3" ht="18.75" customHeight="1" x14ac:dyDescent="0.4">
      <c r="B950" s="25"/>
      <c r="C950" s="23"/>
    </row>
    <row r="951" spans="2:3" ht="18.75" customHeight="1" x14ac:dyDescent="0.4">
      <c r="B951" s="25"/>
      <c r="C951" s="23"/>
    </row>
    <row r="952" spans="2:3" ht="18.75" customHeight="1" x14ac:dyDescent="0.4">
      <c r="B952" s="25"/>
      <c r="C952" s="23"/>
    </row>
    <row r="953" spans="2:3" ht="18.75" customHeight="1" x14ac:dyDescent="0.4">
      <c r="B953" s="25"/>
      <c r="C953" s="23"/>
    </row>
    <row r="954" spans="2:3" ht="18.75" customHeight="1" x14ac:dyDescent="0.4">
      <c r="B954" s="25"/>
      <c r="C954" s="23"/>
    </row>
    <row r="955" spans="2:3" ht="18.75" customHeight="1" x14ac:dyDescent="0.4">
      <c r="B955" s="25"/>
      <c r="C955" s="23"/>
    </row>
    <row r="956" spans="2:3" ht="18.75" customHeight="1" x14ac:dyDescent="0.4">
      <c r="B956" s="25"/>
      <c r="C956" s="23"/>
    </row>
    <row r="957" spans="2:3" ht="18.75" customHeight="1" x14ac:dyDescent="0.4">
      <c r="B957" s="25"/>
      <c r="C957" s="23"/>
    </row>
    <row r="958" spans="2:3" ht="18.75" customHeight="1" x14ac:dyDescent="0.4">
      <c r="B958" s="25"/>
      <c r="C958" s="23"/>
    </row>
    <row r="959" spans="2:3" ht="18.75" customHeight="1" x14ac:dyDescent="0.4">
      <c r="B959" s="25"/>
      <c r="C959" s="23"/>
    </row>
    <row r="960" spans="2:3" ht="18.75" customHeight="1" x14ac:dyDescent="0.4">
      <c r="B960" s="25"/>
      <c r="C960" s="23"/>
    </row>
    <row r="961" spans="2:3" ht="18.75" customHeight="1" x14ac:dyDescent="0.4">
      <c r="B961" s="25"/>
      <c r="C961" s="23"/>
    </row>
    <row r="962" spans="2:3" ht="18.75" customHeight="1" x14ac:dyDescent="0.4">
      <c r="B962" s="25"/>
      <c r="C962" s="23"/>
    </row>
    <row r="963" spans="2:3" ht="18.75" customHeight="1" x14ac:dyDescent="0.4">
      <c r="B963" s="25"/>
      <c r="C963" s="23"/>
    </row>
    <row r="964" spans="2:3" ht="18.75" customHeight="1" x14ac:dyDescent="0.4">
      <c r="B964" s="25"/>
      <c r="C964" s="23"/>
    </row>
    <row r="965" spans="2:3" ht="18.75" customHeight="1" x14ac:dyDescent="0.4">
      <c r="B965" s="25"/>
      <c r="C965" s="23"/>
    </row>
    <row r="966" spans="2:3" ht="18.75" customHeight="1" x14ac:dyDescent="0.4">
      <c r="B966" s="25"/>
      <c r="C966" s="23"/>
    </row>
    <row r="967" spans="2:3" ht="18.75" customHeight="1" x14ac:dyDescent="0.4">
      <c r="B967" s="25"/>
      <c r="C967" s="23"/>
    </row>
    <row r="968" spans="2:3" ht="18.75" customHeight="1" x14ac:dyDescent="0.4">
      <c r="B968" s="25"/>
      <c r="C968" s="23"/>
    </row>
    <row r="969" spans="2:3" ht="18.75" customHeight="1" x14ac:dyDescent="0.4">
      <c r="B969" s="25"/>
      <c r="C969" s="23"/>
    </row>
    <row r="970" spans="2:3" ht="18.75" customHeight="1" x14ac:dyDescent="0.4">
      <c r="B970" s="25"/>
      <c r="C970" s="23"/>
    </row>
    <row r="971" spans="2:3" ht="18.75" customHeight="1" x14ac:dyDescent="0.4">
      <c r="B971" s="25"/>
      <c r="C971" s="23"/>
    </row>
    <row r="972" spans="2:3" ht="18.75" customHeight="1" x14ac:dyDescent="0.4">
      <c r="B972" s="25"/>
      <c r="C972" s="23"/>
    </row>
    <row r="973" spans="2:3" ht="18.75" customHeight="1" x14ac:dyDescent="0.4">
      <c r="B973" s="25"/>
      <c r="C973" s="23"/>
    </row>
    <row r="974" spans="2:3" ht="18.75" customHeight="1" x14ac:dyDescent="0.4">
      <c r="B974" s="25"/>
      <c r="C974" s="23"/>
    </row>
    <row r="975" spans="2:3" ht="18.75" customHeight="1" x14ac:dyDescent="0.4">
      <c r="B975" s="25"/>
      <c r="C975" s="23"/>
    </row>
    <row r="976" spans="2:3" ht="18.75" customHeight="1" x14ac:dyDescent="0.4">
      <c r="B976" s="25"/>
      <c r="C976" s="23"/>
    </row>
    <row r="977" spans="2:3" ht="18.75" customHeight="1" x14ac:dyDescent="0.4">
      <c r="B977" s="25"/>
      <c r="C977" s="23"/>
    </row>
    <row r="978" spans="2:3" ht="18.75" customHeight="1" x14ac:dyDescent="0.4">
      <c r="B978" s="25"/>
      <c r="C978" s="23"/>
    </row>
    <row r="979" spans="2:3" ht="18.75" customHeight="1" x14ac:dyDescent="0.4">
      <c r="B979" s="25"/>
      <c r="C979" s="23"/>
    </row>
    <row r="980" spans="2:3" ht="18.75" customHeight="1" x14ac:dyDescent="0.4">
      <c r="B980" s="25"/>
      <c r="C980" s="23"/>
    </row>
    <row r="981" spans="2:3" ht="18.75" customHeight="1" x14ac:dyDescent="0.4">
      <c r="B981" s="25"/>
      <c r="C981" s="23"/>
    </row>
    <row r="982" spans="2:3" ht="18.75" customHeight="1" x14ac:dyDescent="0.4">
      <c r="B982" s="25"/>
      <c r="C982" s="23"/>
    </row>
    <row r="983" spans="2:3" ht="18.75" customHeight="1" x14ac:dyDescent="0.4">
      <c r="B983" s="25"/>
      <c r="C983" s="23"/>
    </row>
    <row r="984" spans="2:3" ht="18.75" customHeight="1" x14ac:dyDescent="0.4">
      <c r="B984" s="25"/>
      <c r="C984" s="23"/>
    </row>
    <row r="985" spans="2:3" ht="18.75" customHeight="1" x14ac:dyDescent="0.4">
      <c r="B985" s="25"/>
      <c r="C985" s="23"/>
    </row>
    <row r="986" spans="2:3" ht="18.75" customHeight="1" x14ac:dyDescent="0.4">
      <c r="B986" s="25"/>
      <c r="C986" s="23"/>
    </row>
    <row r="987" spans="2:3" ht="18.75" customHeight="1" x14ac:dyDescent="0.4">
      <c r="B987" s="25"/>
      <c r="C987" s="23"/>
    </row>
    <row r="988" spans="2:3" ht="18.75" customHeight="1" x14ac:dyDescent="0.4">
      <c r="B988" s="25"/>
      <c r="C988" s="23"/>
    </row>
    <row r="989" spans="2:3" ht="18.75" customHeight="1" x14ac:dyDescent="0.4">
      <c r="B989" s="25"/>
      <c r="C989" s="23"/>
    </row>
    <row r="990" spans="2:3" ht="18.75" customHeight="1" x14ac:dyDescent="0.4">
      <c r="B990" s="25"/>
      <c r="C990" s="23"/>
    </row>
    <row r="991" spans="2:3" ht="18.75" customHeight="1" x14ac:dyDescent="0.4">
      <c r="B991" s="25"/>
      <c r="C991" s="23"/>
    </row>
    <row r="992" spans="2:3" ht="18.75" customHeight="1" x14ac:dyDescent="0.4">
      <c r="B992" s="25"/>
      <c r="C992" s="23"/>
    </row>
    <row r="993" spans="2:3" ht="18.75" customHeight="1" x14ac:dyDescent="0.4">
      <c r="B993" s="25"/>
      <c r="C993" s="23"/>
    </row>
    <row r="994" spans="2:3" ht="18.75" customHeight="1" x14ac:dyDescent="0.4">
      <c r="B994" s="25"/>
      <c r="C994" s="23"/>
    </row>
    <row r="995" spans="2:3" ht="18.75" customHeight="1" x14ac:dyDescent="0.4">
      <c r="B995" s="25"/>
      <c r="C995" s="23"/>
    </row>
    <row r="996" spans="2:3" ht="18.75" customHeight="1" x14ac:dyDescent="0.4">
      <c r="B996" s="25"/>
      <c r="C996" s="23"/>
    </row>
    <row r="997" spans="2:3" ht="18.75" customHeight="1" x14ac:dyDescent="0.4">
      <c r="B997" s="25"/>
      <c r="C997" s="23"/>
    </row>
    <row r="998" spans="2:3" ht="18.75" customHeight="1" x14ac:dyDescent="0.4">
      <c r="B998" s="25"/>
      <c r="C998" s="23"/>
    </row>
    <row r="999" spans="2:3" ht="18.75" customHeight="1" x14ac:dyDescent="0.4">
      <c r="B999" s="25"/>
      <c r="C999" s="23"/>
    </row>
    <row r="1000" spans="2:3" ht="18.75" customHeight="1" x14ac:dyDescent="0.4">
      <c r="B1000" s="25"/>
      <c r="C1000" s="23"/>
    </row>
  </sheetData>
  <mergeCells count="11">
    <mergeCell ref="A17:A22"/>
    <mergeCell ref="A23:A28"/>
    <mergeCell ref="A29:A34"/>
    <mergeCell ref="A35:A42"/>
    <mergeCell ref="A1:F1"/>
    <mergeCell ref="A2:B2"/>
    <mergeCell ref="D2:E2"/>
    <mergeCell ref="A3:B3"/>
    <mergeCell ref="D3:F3"/>
    <mergeCell ref="A5:A14"/>
    <mergeCell ref="A15:A16"/>
  </mergeCells>
  <dataValidations count="2">
    <dataValidation type="list" allowBlank="1" showErrorMessage="1" sqref="D15 D17 D23 D29 D35 D40" xr:uid="{00000000-0002-0000-0400-000000000000}">
      <formula1>"Sim,Não,NA"</formula1>
    </dataValidation>
    <dataValidation type="list" allowBlank="1" showErrorMessage="1" sqref="D6 D8 D10:D12 D14 D16 D18:D22 D24:D28 D30:D34 D36:D39 D41:D42" xr:uid="{00000000-0002-0000-0400-000001000000}">
      <formula1>"Sim,Parcialmente,Não,NA"</formula1>
    </dataValidation>
  </dataValidations>
  <pageMargins left="0.511811024" right="0.511811024" top="0.78740157499999996" bottom="0.78740157499999996" header="0" footer="0"/>
  <pageSetup orientation="landscape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tabSelected="1" workbookViewId="0">
      <selection activeCell="D43" sqref="D43"/>
    </sheetView>
  </sheetViews>
  <sheetFormatPr defaultColWidth="14.42578125" defaultRowHeight="15" customHeight="1" x14ac:dyDescent="0.25"/>
  <cols>
    <col min="1" max="1" width="21.140625" customWidth="1"/>
    <col min="2" max="2" width="5.28515625" customWidth="1"/>
    <col min="3" max="3" width="71.28515625" customWidth="1"/>
    <col min="4" max="4" width="12.7109375" customWidth="1"/>
    <col min="5" max="5" width="29.7109375" customWidth="1"/>
    <col min="6" max="6" width="32.7109375" customWidth="1"/>
    <col min="7" max="10" width="8.7109375" hidden="1" customWidth="1"/>
    <col min="11" max="26" width="8.7109375" customWidth="1"/>
  </cols>
  <sheetData>
    <row r="1" spans="1:26" ht="19.5" customHeight="1" x14ac:dyDescent="0.25">
      <c r="A1" s="36" t="s">
        <v>29</v>
      </c>
      <c r="B1" s="37"/>
      <c r="C1" s="37"/>
      <c r="D1" s="37"/>
      <c r="E1" s="37"/>
      <c r="F1" s="38"/>
    </row>
    <row r="2" spans="1:26" ht="18.75" customHeight="1" x14ac:dyDescent="0.25">
      <c r="A2" s="39" t="s">
        <v>30</v>
      </c>
      <c r="B2" s="38"/>
      <c r="C2" s="26"/>
      <c r="D2" s="40" t="s">
        <v>31</v>
      </c>
      <c r="E2" s="41"/>
      <c r="F2" s="9">
        <f>COUNTIF(D5:D43,"Sim")/(COUNTA(D5:D43)-COUNTIF(D5:D43,"NA"))</f>
        <v>0.88888888888888884</v>
      </c>
    </row>
    <row r="3" spans="1:26" ht="18.75" customHeight="1" x14ac:dyDescent="0.25">
      <c r="A3" s="39" t="s">
        <v>32</v>
      </c>
      <c r="B3" s="38"/>
      <c r="C3" s="10"/>
      <c r="D3" s="42" t="s">
        <v>34</v>
      </c>
      <c r="E3" s="43"/>
      <c r="F3" s="44"/>
    </row>
    <row r="4" spans="1:26" ht="18.75" customHeight="1" x14ac:dyDescent="0.25">
      <c r="A4" s="11" t="s">
        <v>35</v>
      </c>
      <c r="B4" s="11" t="s">
        <v>36</v>
      </c>
      <c r="C4" s="11" t="s">
        <v>37</v>
      </c>
      <c r="D4" s="27" t="s">
        <v>38</v>
      </c>
      <c r="E4" s="11" t="s">
        <v>39</v>
      </c>
      <c r="F4" s="11" t="s">
        <v>40</v>
      </c>
    </row>
    <row r="5" spans="1:26" ht="15" customHeight="1" x14ac:dyDescent="0.25">
      <c r="A5" s="29" t="s">
        <v>44</v>
      </c>
      <c r="B5" s="15"/>
      <c r="C5" s="16" t="s">
        <v>13</v>
      </c>
      <c r="D5" s="17"/>
      <c r="E5" s="17"/>
      <c r="F5" s="17"/>
    </row>
    <row r="6" spans="1:26" ht="18.75" customHeight="1" x14ac:dyDescent="0.25">
      <c r="A6" s="30"/>
      <c r="B6" s="18">
        <v>1</v>
      </c>
      <c r="C6" s="19" t="s">
        <v>74</v>
      </c>
      <c r="D6" s="20" t="s">
        <v>55</v>
      </c>
      <c r="E6" s="19"/>
      <c r="F6" s="19"/>
      <c r="G6" s="5">
        <f>COUNTIF(D6,"Sim")</f>
        <v>0</v>
      </c>
      <c r="H6" s="5">
        <f>COUNTIF(D6,"Parcialmente")</f>
        <v>0</v>
      </c>
      <c r="I6" s="5">
        <f>COUNTIF(D6,"Não")</f>
        <v>0</v>
      </c>
      <c r="J6" s="5">
        <f>COUNTIF(D6,"NA")</f>
        <v>1</v>
      </c>
    </row>
    <row r="7" spans="1:26" ht="18.75" customHeight="1" x14ac:dyDescent="0.25">
      <c r="A7" s="30"/>
      <c r="B7" s="15"/>
      <c r="C7" s="16" t="s">
        <v>14</v>
      </c>
      <c r="D7" s="17"/>
      <c r="E7" s="17"/>
      <c r="F7" s="17"/>
    </row>
    <row r="8" spans="1:26" ht="18.75" customHeight="1" x14ac:dyDescent="0.25">
      <c r="A8" s="30"/>
      <c r="B8" s="18">
        <v>2</v>
      </c>
      <c r="C8" s="19" t="s">
        <v>75</v>
      </c>
      <c r="D8" s="20" t="s">
        <v>55</v>
      </c>
      <c r="E8" s="19"/>
      <c r="F8" s="19"/>
      <c r="G8" s="5">
        <f>COUNTIF(D8,"Sim")</f>
        <v>0</v>
      </c>
      <c r="H8" s="5">
        <f>COUNTIF(D8,"Parcialmente")</f>
        <v>0</v>
      </c>
      <c r="I8" s="5">
        <f>COUNTIF(D8,"Não")</f>
        <v>0</v>
      </c>
      <c r="J8" s="5">
        <f>COUNTIF(D8,"NA")</f>
        <v>1</v>
      </c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spans="1:26" ht="18.75" customHeight="1" x14ac:dyDescent="0.25">
      <c r="A9" s="30"/>
      <c r="B9" s="15"/>
      <c r="C9" s="16" t="s">
        <v>15</v>
      </c>
      <c r="D9" s="17"/>
      <c r="E9" s="17"/>
      <c r="F9" s="17"/>
    </row>
    <row r="10" spans="1:26" ht="18.75" customHeight="1" x14ac:dyDescent="0.25">
      <c r="A10" s="30"/>
      <c r="B10" s="18">
        <v>3</v>
      </c>
      <c r="C10" s="19" t="s">
        <v>77</v>
      </c>
      <c r="D10" s="20" t="s">
        <v>55</v>
      </c>
      <c r="E10" s="19"/>
      <c r="F10" s="19"/>
      <c r="G10" s="5">
        <f>COUNTIF(D10:D12,"Sim")</f>
        <v>0</v>
      </c>
      <c r="H10" s="5">
        <f>COUNTIF(D10:D12,"Parcialmente")</f>
        <v>0</v>
      </c>
      <c r="I10" s="5">
        <f>COUNTIF(D10:D12,"Não")</f>
        <v>0</v>
      </c>
      <c r="J10" s="5">
        <f>COUNTIF(D10:D12,"NA")</f>
        <v>3</v>
      </c>
    </row>
    <row r="11" spans="1:26" ht="18.75" customHeight="1" x14ac:dyDescent="0.25">
      <c r="A11" s="30"/>
      <c r="B11" s="18">
        <v>4</v>
      </c>
      <c r="C11" s="19" t="s">
        <v>101</v>
      </c>
      <c r="D11" s="20" t="s">
        <v>55</v>
      </c>
      <c r="E11" s="19"/>
      <c r="F11" s="19"/>
    </row>
    <row r="12" spans="1:26" ht="29.25" customHeight="1" x14ac:dyDescent="0.25">
      <c r="A12" s="30"/>
      <c r="B12" s="18">
        <v>5</v>
      </c>
      <c r="C12" s="19" t="s">
        <v>79</v>
      </c>
      <c r="D12" s="20" t="s">
        <v>55</v>
      </c>
      <c r="E12" s="19"/>
      <c r="F12" s="19"/>
    </row>
    <row r="13" spans="1:26" ht="18.75" customHeight="1" x14ac:dyDescent="0.25">
      <c r="A13" s="30"/>
      <c r="B13" s="15"/>
      <c r="C13" s="16" t="s">
        <v>16</v>
      </c>
      <c r="D13" s="17"/>
      <c r="E13" s="17"/>
      <c r="F13" s="17"/>
    </row>
    <row r="14" spans="1:26" ht="18.75" customHeight="1" x14ac:dyDescent="0.25">
      <c r="A14" s="31"/>
      <c r="B14" s="18">
        <v>6</v>
      </c>
      <c r="C14" s="19" t="s">
        <v>81</v>
      </c>
      <c r="D14" s="20" t="s">
        <v>55</v>
      </c>
      <c r="E14" s="19"/>
      <c r="F14" s="19"/>
      <c r="G14" s="5">
        <f>COUNTIF(D14,"Sim")</f>
        <v>0</v>
      </c>
      <c r="H14" s="5">
        <f>COUNTIF(D14,"Parcialmente")</f>
        <v>0</v>
      </c>
      <c r="I14" s="5">
        <f>COUNTIF(D14,"Não")</f>
        <v>0</v>
      </c>
      <c r="J14" s="5">
        <f>COUNTIF(D14,"NA")</f>
        <v>1</v>
      </c>
    </row>
    <row r="15" spans="1:26" ht="15" customHeight="1" x14ac:dyDescent="0.25">
      <c r="A15" s="29" t="s">
        <v>82</v>
      </c>
      <c r="B15" s="15"/>
      <c r="C15" s="16" t="s">
        <v>18</v>
      </c>
      <c r="D15" s="28"/>
      <c r="E15" s="17"/>
      <c r="F15" s="17"/>
    </row>
    <row r="16" spans="1:26" ht="18.75" customHeight="1" x14ac:dyDescent="0.25">
      <c r="A16" s="31"/>
      <c r="B16" s="18">
        <v>8</v>
      </c>
      <c r="C16" s="19" t="s">
        <v>102</v>
      </c>
      <c r="D16" s="20" t="s">
        <v>46</v>
      </c>
      <c r="E16" s="19"/>
      <c r="F16" s="19"/>
      <c r="G16" s="5">
        <f>COUNTIF(D16,"Sim")</f>
        <v>1</v>
      </c>
      <c r="H16" s="5">
        <f>COUNTIF(D16,"Parcialmente")</f>
        <v>0</v>
      </c>
      <c r="I16" s="5">
        <f>COUNTIF(D16,"Não")</f>
        <v>0</v>
      </c>
      <c r="J16" s="5">
        <f>COUNTIF(D16,"NA")</f>
        <v>0</v>
      </c>
    </row>
    <row r="17" spans="1:26" ht="15" customHeight="1" x14ac:dyDescent="0.25">
      <c r="A17" s="29" t="s">
        <v>87</v>
      </c>
      <c r="B17" s="15"/>
      <c r="C17" s="16" t="s">
        <v>22</v>
      </c>
      <c r="D17" s="28"/>
      <c r="E17" s="17"/>
      <c r="F17" s="17"/>
    </row>
    <row r="18" spans="1:26" ht="18.75" customHeight="1" x14ac:dyDescent="0.25">
      <c r="A18" s="30"/>
      <c r="B18" s="18">
        <v>9</v>
      </c>
      <c r="C18" s="19" t="s">
        <v>112</v>
      </c>
      <c r="D18" s="20" t="s">
        <v>46</v>
      </c>
      <c r="E18" s="19"/>
      <c r="F18" s="19"/>
      <c r="G18" s="5">
        <f>COUNTIF(D18:D21,"Sim")</f>
        <v>4</v>
      </c>
      <c r="H18" s="5">
        <f>COUNTIF(D18:D21,"Parcialmente")</f>
        <v>0</v>
      </c>
      <c r="I18" s="5">
        <f>COUNTIF(D18:D21,"Não")</f>
        <v>0</v>
      </c>
      <c r="J18" s="5">
        <f>COUNTIF(D18:D21,"NA")</f>
        <v>0</v>
      </c>
    </row>
    <row r="19" spans="1:26" ht="18.75" customHeight="1" x14ac:dyDescent="0.25">
      <c r="A19" s="30"/>
      <c r="B19" s="18">
        <v>10</v>
      </c>
      <c r="C19" s="19" t="s">
        <v>113</v>
      </c>
      <c r="D19" s="20" t="s">
        <v>46</v>
      </c>
      <c r="E19" s="19"/>
      <c r="F19" s="19"/>
    </row>
    <row r="20" spans="1:26" ht="18.75" customHeight="1" x14ac:dyDescent="0.25">
      <c r="A20" s="30"/>
      <c r="B20" s="18">
        <v>11</v>
      </c>
      <c r="C20" s="19" t="s">
        <v>89</v>
      </c>
      <c r="D20" s="20" t="s">
        <v>46</v>
      </c>
      <c r="E20" s="19"/>
      <c r="F20" s="19"/>
    </row>
    <row r="21" spans="1:26" ht="18.75" customHeight="1" x14ac:dyDescent="0.25">
      <c r="A21" s="32"/>
      <c r="B21" s="18">
        <v>13</v>
      </c>
      <c r="C21" s="19" t="s">
        <v>114</v>
      </c>
      <c r="D21" s="20" t="s">
        <v>46</v>
      </c>
      <c r="E21" s="19"/>
      <c r="F21" s="19"/>
    </row>
    <row r="22" spans="1:26" ht="18.75" customHeight="1" x14ac:dyDescent="0.25">
      <c r="A22" s="29" t="s">
        <v>104</v>
      </c>
      <c r="B22" s="15"/>
      <c r="C22" s="16" t="s">
        <v>26</v>
      </c>
      <c r="D22" s="28"/>
      <c r="E22" s="17"/>
      <c r="F22" s="17"/>
    </row>
    <row r="23" spans="1:26" ht="18.75" customHeight="1" x14ac:dyDescent="0.25">
      <c r="A23" s="30"/>
      <c r="B23" s="18">
        <v>14</v>
      </c>
      <c r="C23" s="19" t="s">
        <v>115</v>
      </c>
      <c r="D23" s="20" t="s">
        <v>46</v>
      </c>
      <c r="E23" s="19"/>
      <c r="F23" s="19"/>
      <c r="G23" s="5">
        <f>COUNTIF(D23:D24,"Sim")</f>
        <v>2</v>
      </c>
      <c r="H23" s="5">
        <f>COUNTIF(D23:D24,"Parcialmente")</f>
        <v>0</v>
      </c>
      <c r="I23" s="5">
        <f>COUNTIF(D23:D24,"Não")</f>
        <v>0</v>
      </c>
      <c r="J23" s="5">
        <f>COUNTIF(D23:D24,"NA")</f>
        <v>0</v>
      </c>
    </row>
    <row r="24" spans="1:26" ht="18.75" customHeight="1" x14ac:dyDescent="0.25">
      <c r="A24" s="31"/>
      <c r="B24" s="18">
        <v>15</v>
      </c>
      <c r="C24" s="19" t="s">
        <v>108</v>
      </c>
      <c r="D24" s="20" t="s">
        <v>46</v>
      </c>
      <c r="E24" s="19"/>
      <c r="F24" s="19"/>
    </row>
    <row r="25" spans="1:26" ht="15" customHeight="1" x14ac:dyDescent="0.25">
      <c r="A25" s="29" t="s">
        <v>116</v>
      </c>
      <c r="B25" s="15"/>
      <c r="C25" s="16" t="s">
        <v>27</v>
      </c>
      <c r="D25" s="28"/>
      <c r="E25" s="17"/>
      <c r="F25" s="17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spans="1:26" ht="18.75" customHeight="1" x14ac:dyDescent="0.25">
      <c r="A26" s="30"/>
      <c r="B26" s="24">
        <v>24</v>
      </c>
      <c r="C26" s="22" t="s">
        <v>45</v>
      </c>
      <c r="D26" s="20" t="s">
        <v>46</v>
      </c>
      <c r="E26" s="19"/>
      <c r="F26" s="19"/>
      <c r="G26" s="5">
        <f>COUNTIF(D26:D27,"Sim")</f>
        <v>2</v>
      </c>
      <c r="H26" s="5">
        <f>COUNTIF(D26:D27,"Parcialmente")</f>
        <v>0</v>
      </c>
      <c r="I26" s="5">
        <f>COUNTIF(D26:D27,"Não")</f>
        <v>0</v>
      </c>
      <c r="J26" s="5">
        <f>COUNTIF(D26:D27,"NA")</f>
        <v>0</v>
      </c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spans="1:26" ht="18.75" customHeight="1" x14ac:dyDescent="0.25">
      <c r="A27" s="30"/>
      <c r="B27" s="18">
        <v>25</v>
      </c>
      <c r="C27" s="19" t="s">
        <v>117</v>
      </c>
      <c r="D27" s="20" t="s">
        <v>46</v>
      </c>
      <c r="E27" s="19"/>
      <c r="F27" s="19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spans="1:26" ht="18.75" customHeight="1" x14ac:dyDescent="0.25">
      <c r="A28" s="30"/>
      <c r="B28" s="15"/>
      <c r="C28" s="16" t="s">
        <v>28</v>
      </c>
      <c r="D28" s="28"/>
      <c r="E28" s="17"/>
      <c r="F28" s="17"/>
    </row>
    <row r="29" spans="1:26" ht="18.75" customHeight="1" x14ac:dyDescent="0.25">
      <c r="A29" s="31"/>
      <c r="B29" s="24">
        <v>26</v>
      </c>
      <c r="C29" s="22" t="s">
        <v>45</v>
      </c>
      <c r="D29" s="20" t="s">
        <v>46</v>
      </c>
      <c r="E29" s="19"/>
      <c r="F29" s="19"/>
      <c r="G29" s="5">
        <f>COUNTIF(D29,"Sim")</f>
        <v>1</v>
      </c>
      <c r="H29" s="5">
        <f>COUNTIF(D29,"Parcialmente")</f>
        <v>0</v>
      </c>
      <c r="I29" s="5">
        <f>COUNTIF(D29,"Não")</f>
        <v>0</v>
      </c>
      <c r="J29" s="5">
        <f>COUNTIF(D29,"NA")</f>
        <v>0</v>
      </c>
    </row>
    <row r="30" spans="1:26" ht="18.75" customHeight="1" x14ac:dyDescent="0.25">
      <c r="A30" s="29" t="s">
        <v>92</v>
      </c>
      <c r="B30" s="15"/>
      <c r="C30" s="16" t="s">
        <v>23</v>
      </c>
      <c r="D30" s="28"/>
      <c r="E30" s="17"/>
      <c r="F30" s="17"/>
    </row>
    <row r="31" spans="1:26" ht="18.75" customHeight="1" x14ac:dyDescent="0.25">
      <c r="A31" s="30"/>
      <c r="B31" s="18">
        <v>19</v>
      </c>
      <c r="C31" s="19" t="s">
        <v>93</v>
      </c>
      <c r="D31" s="20" t="s">
        <v>46</v>
      </c>
      <c r="E31" s="19"/>
      <c r="F31" s="19"/>
      <c r="G31" s="5">
        <f>COUNTIF(D31:D35,"Sim")</f>
        <v>2</v>
      </c>
      <c r="H31" s="5">
        <f>COUNTIF(D31:D35,"Parcialmente")</f>
        <v>1</v>
      </c>
      <c r="I31" s="5">
        <f>COUNTIF(D31:D35,"Não")</f>
        <v>0</v>
      </c>
      <c r="J31" s="5">
        <f>COUNTIF(D31:D35,"NA")</f>
        <v>2</v>
      </c>
    </row>
    <row r="32" spans="1:26" ht="18.75" customHeight="1" x14ac:dyDescent="0.25">
      <c r="A32" s="30"/>
      <c r="B32" s="18">
        <v>20</v>
      </c>
      <c r="C32" s="19" t="s">
        <v>109</v>
      </c>
      <c r="D32" s="20" t="s">
        <v>55</v>
      </c>
      <c r="E32" s="19"/>
      <c r="F32" s="19"/>
    </row>
    <row r="33" spans="1:10" ht="18.75" customHeight="1" x14ac:dyDescent="0.25">
      <c r="A33" s="30"/>
      <c r="B33" s="18">
        <v>21</v>
      </c>
      <c r="C33" s="19" t="s">
        <v>110</v>
      </c>
      <c r="D33" s="20" t="s">
        <v>46</v>
      </c>
      <c r="E33" s="19"/>
      <c r="F33" s="19"/>
    </row>
    <row r="34" spans="1:10" ht="18.75" customHeight="1" x14ac:dyDescent="0.25">
      <c r="A34" s="30"/>
      <c r="B34" s="18">
        <v>24</v>
      </c>
      <c r="C34" s="19" t="s">
        <v>118</v>
      </c>
      <c r="D34" s="20" t="s">
        <v>51</v>
      </c>
      <c r="E34" s="19"/>
      <c r="F34" s="19"/>
    </row>
    <row r="35" spans="1:10" ht="18.75" customHeight="1" x14ac:dyDescent="0.25">
      <c r="A35" s="32"/>
      <c r="B35" s="18">
        <v>25</v>
      </c>
      <c r="C35" s="19" t="s">
        <v>98</v>
      </c>
      <c r="D35" s="20" t="s">
        <v>55</v>
      </c>
      <c r="E35" s="19"/>
      <c r="F35" s="19"/>
    </row>
    <row r="36" spans="1:10" ht="15" customHeight="1" x14ac:dyDescent="0.25">
      <c r="A36" s="33" t="s">
        <v>69</v>
      </c>
      <c r="B36" s="15"/>
      <c r="C36" s="16" t="s">
        <v>24</v>
      </c>
      <c r="D36" s="28"/>
      <c r="E36" s="17"/>
      <c r="F36" s="17"/>
    </row>
    <row r="37" spans="1:10" ht="18.75" customHeight="1" x14ac:dyDescent="0.25">
      <c r="A37" s="34"/>
      <c r="B37" s="18">
        <v>26</v>
      </c>
      <c r="C37" s="19" t="s">
        <v>71</v>
      </c>
      <c r="D37" s="20" t="s">
        <v>46</v>
      </c>
      <c r="E37" s="19"/>
      <c r="F37" s="19"/>
      <c r="G37" s="5">
        <f>COUNTIF(D37:D39,"Sim")</f>
        <v>3</v>
      </c>
      <c r="H37" s="5">
        <f>COUNTIF(D37:D39,"Parcialmente")</f>
        <v>0</v>
      </c>
      <c r="I37" s="5">
        <f>COUNTIF(D37:D39,"Não")</f>
        <v>0</v>
      </c>
      <c r="J37" s="5">
        <f>COUNTIF(D37:D39,"NA")</f>
        <v>0</v>
      </c>
    </row>
    <row r="38" spans="1:10" ht="18.75" customHeight="1" x14ac:dyDescent="0.25">
      <c r="A38" s="34"/>
      <c r="B38" s="18">
        <v>27</v>
      </c>
      <c r="C38" s="19" t="s">
        <v>72</v>
      </c>
      <c r="D38" s="20" t="s">
        <v>46</v>
      </c>
      <c r="E38" s="19"/>
      <c r="F38" s="19"/>
    </row>
    <row r="39" spans="1:10" ht="18.75" customHeight="1" x14ac:dyDescent="0.25">
      <c r="A39" s="34"/>
      <c r="B39" s="18">
        <v>28</v>
      </c>
      <c r="C39" s="19" t="s">
        <v>73</v>
      </c>
      <c r="D39" s="20" t="s">
        <v>46</v>
      </c>
      <c r="E39" s="19"/>
      <c r="F39" s="19"/>
    </row>
    <row r="40" spans="1:10" ht="18.75" customHeight="1" x14ac:dyDescent="0.25">
      <c r="A40" s="34"/>
      <c r="B40" s="18"/>
      <c r="C40" s="19" t="s">
        <v>111</v>
      </c>
      <c r="D40" s="20" t="s">
        <v>43</v>
      </c>
      <c r="E40" s="19"/>
      <c r="F40" s="19"/>
    </row>
    <row r="41" spans="1:10" ht="18.75" customHeight="1" x14ac:dyDescent="0.25">
      <c r="A41" s="34"/>
      <c r="B41" s="15"/>
      <c r="C41" s="16" t="s">
        <v>25</v>
      </c>
      <c r="D41" s="28"/>
      <c r="E41" s="17"/>
      <c r="F41" s="17"/>
    </row>
    <row r="42" spans="1:10" ht="18.75" customHeight="1" x14ac:dyDescent="0.25">
      <c r="A42" s="34"/>
      <c r="B42" s="18">
        <v>29</v>
      </c>
      <c r="C42" s="19" t="s">
        <v>99</v>
      </c>
      <c r="D42" s="20" t="s">
        <v>55</v>
      </c>
      <c r="E42" s="19"/>
      <c r="F42" s="19"/>
      <c r="G42" s="5">
        <f>COUNTIF(D42:D43,"Sim")</f>
        <v>1</v>
      </c>
      <c r="H42" s="5">
        <f>COUNTIF(D42:D43,"Parcialmente")</f>
        <v>0</v>
      </c>
      <c r="I42" s="5">
        <f>COUNTIF(D42:D43,"Não")</f>
        <v>0</v>
      </c>
      <c r="J42" s="5">
        <f>COUNTIF(D42:D43,"NA")</f>
        <v>1</v>
      </c>
    </row>
    <row r="43" spans="1:10" ht="18.75" customHeight="1" x14ac:dyDescent="0.25">
      <c r="A43" s="35"/>
      <c r="B43" s="18">
        <v>30</v>
      </c>
      <c r="C43" s="19" t="s">
        <v>100</v>
      </c>
      <c r="D43" s="20" t="s">
        <v>46</v>
      </c>
      <c r="E43" s="19"/>
      <c r="F43" s="19"/>
    </row>
    <row r="44" spans="1:10" ht="18.75" customHeight="1" x14ac:dyDescent="0.4">
      <c r="B44" s="25"/>
      <c r="C44" s="23"/>
    </row>
    <row r="45" spans="1:10" ht="18.75" customHeight="1" x14ac:dyDescent="0.4">
      <c r="B45" s="25"/>
      <c r="C45" s="23"/>
    </row>
    <row r="46" spans="1:10" ht="18.75" customHeight="1" x14ac:dyDescent="0.4">
      <c r="B46" s="25"/>
      <c r="C46" s="23"/>
    </row>
    <row r="47" spans="1:10" ht="18.75" customHeight="1" x14ac:dyDescent="0.4">
      <c r="B47" s="25"/>
      <c r="C47" s="23"/>
    </row>
    <row r="48" spans="1:10" ht="18.75" customHeight="1" x14ac:dyDescent="0.4">
      <c r="B48" s="25"/>
      <c r="C48" s="23"/>
    </row>
    <row r="49" spans="2:3" ht="18.75" customHeight="1" x14ac:dyDescent="0.4">
      <c r="B49" s="25"/>
      <c r="C49" s="23"/>
    </row>
    <row r="50" spans="2:3" ht="18.75" customHeight="1" x14ac:dyDescent="0.4">
      <c r="B50" s="25"/>
      <c r="C50" s="23"/>
    </row>
    <row r="51" spans="2:3" ht="18.75" customHeight="1" x14ac:dyDescent="0.4">
      <c r="B51" s="25"/>
      <c r="C51" s="23"/>
    </row>
    <row r="52" spans="2:3" ht="18.75" customHeight="1" x14ac:dyDescent="0.25"/>
    <row r="53" spans="2:3" ht="18.75" customHeight="1" x14ac:dyDescent="0.25"/>
    <row r="54" spans="2:3" ht="18.75" customHeight="1" x14ac:dyDescent="0.25"/>
    <row r="55" spans="2:3" ht="18.75" customHeight="1" x14ac:dyDescent="0.25"/>
    <row r="56" spans="2:3" ht="18.75" customHeight="1" x14ac:dyDescent="0.25"/>
    <row r="57" spans="2:3" ht="18.75" customHeight="1" x14ac:dyDescent="0.25"/>
    <row r="58" spans="2:3" ht="18.75" customHeight="1" x14ac:dyDescent="0.25"/>
    <row r="59" spans="2:3" ht="18.75" customHeight="1" x14ac:dyDescent="0.4">
      <c r="B59" s="25"/>
      <c r="C59" s="23"/>
    </row>
    <row r="60" spans="2:3" ht="18.75" customHeight="1" x14ac:dyDescent="0.4">
      <c r="B60" s="25"/>
      <c r="C60" s="23"/>
    </row>
    <row r="61" spans="2:3" ht="18.75" customHeight="1" x14ac:dyDescent="0.4">
      <c r="B61" s="25"/>
      <c r="C61" s="23"/>
    </row>
    <row r="62" spans="2:3" ht="18.75" customHeight="1" x14ac:dyDescent="0.4">
      <c r="B62" s="25"/>
      <c r="C62" s="23"/>
    </row>
    <row r="63" spans="2:3" ht="18.75" customHeight="1" x14ac:dyDescent="0.4">
      <c r="B63" s="25"/>
      <c r="C63" s="23"/>
    </row>
    <row r="64" spans="2:3" ht="18.75" customHeight="1" x14ac:dyDescent="0.4">
      <c r="B64" s="25"/>
      <c r="C64" s="23"/>
    </row>
    <row r="65" spans="2:3" ht="18.75" customHeight="1" x14ac:dyDescent="0.4">
      <c r="B65" s="25"/>
      <c r="C65" s="23"/>
    </row>
    <row r="66" spans="2:3" ht="18.75" customHeight="1" x14ac:dyDescent="0.4">
      <c r="B66" s="25"/>
      <c r="C66" s="23"/>
    </row>
    <row r="67" spans="2:3" ht="18.75" customHeight="1" x14ac:dyDescent="0.4">
      <c r="B67" s="25"/>
      <c r="C67" s="23"/>
    </row>
    <row r="68" spans="2:3" ht="18.75" customHeight="1" x14ac:dyDescent="0.4">
      <c r="B68" s="25"/>
      <c r="C68" s="23"/>
    </row>
    <row r="69" spans="2:3" ht="18.75" customHeight="1" x14ac:dyDescent="0.4">
      <c r="B69" s="25"/>
      <c r="C69" s="23"/>
    </row>
    <row r="70" spans="2:3" ht="18.75" customHeight="1" x14ac:dyDescent="0.4">
      <c r="B70" s="25"/>
      <c r="C70" s="23"/>
    </row>
    <row r="71" spans="2:3" ht="18.75" customHeight="1" x14ac:dyDescent="0.4">
      <c r="B71" s="25"/>
      <c r="C71" s="23"/>
    </row>
    <row r="72" spans="2:3" ht="18.75" customHeight="1" x14ac:dyDescent="0.4">
      <c r="B72" s="25"/>
      <c r="C72" s="23"/>
    </row>
    <row r="73" spans="2:3" ht="18.75" customHeight="1" x14ac:dyDescent="0.4">
      <c r="B73" s="25"/>
      <c r="C73" s="23"/>
    </row>
    <row r="74" spans="2:3" ht="18.75" customHeight="1" x14ac:dyDescent="0.4">
      <c r="B74" s="25"/>
      <c r="C74" s="23"/>
    </row>
    <row r="75" spans="2:3" ht="18.75" customHeight="1" x14ac:dyDescent="0.4">
      <c r="B75" s="25"/>
      <c r="C75" s="23"/>
    </row>
    <row r="76" spans="2:3" ht="18.75" customHeight="1" x14ac:dyDescent="0.4">
      <c r="B76" s="25"/>
      <c r="C76" s="23"/>
    </row>
    <row r="77" spans="2:3" ht="18.75" customHeight="1" x14ac:dyDescent="0.4">
      <c r="B77" s="25"/>
      <c r="C77" s="23"/>
    </row>
    <row r="78" spans="2:3" ht="18.75" customHeight="1" x14ac:dyDescent="0.4">
      <c r="B78" s="25"/>
      <c r="C78" s="23"/>
    </row>
    <row r="79" spans="2:3" ht="18.75" customHeight="1" x14ac:dyDescent="0.4">
      <c r="B79" s="25"/>
      <c r="C79" s="23"/>
    </row>
    <row r="80" spans="2:3" ht="18.75" customHeight="1" x14ac:dyDescent="0.4">
      <c r="B80" s="25"/>
      <c r="C80" s="23"/>
    </row>
    <row r="81" spans="2:3" ht="18.75" customHeight="1" x14ac:dyDescent="0.4">
      <c r="B81" s="25"/>
      <c r="C81" s="23"/>
    </row>
    <row r="82" spans="2:3" ht="18.75" customHeight="1" x14ac:dyDescent="0.4">
      <c r="B82" s="25"/>
      <c r="C82" s="23"/>
    </row>
    <row r="83" spans="2:3" ht="18.75" customHeight="1" x14ac:dyDescent="0.4">
      <c r="B83" s="25"/>
      <c r="C83" s="23"/>
    </row>
    <row r="84" spans="2:3" ht="18.75" customHeight="1" x14ac:dyDescent="0.4">
      <c r="B84" s="25"/>
      <c r="C84" s="23"/>
    </row>
    <row r="85" spans="2:3" ht="18.75" customHeight="1" x14ac:dyDescent="0.4">
      <c r="B85" s="25"/>
      <c r="C85" s="23"/>
    </row>
    <row r="86" spans="2:3" ht="18.75" customHeight="1" x14ac:dyDescent="0.4">
      <c r="B86" s="25"/>
      <c r="C86" s="23"/>
    </row>
    <row r="87" spans="2:3" ht="18.75" customHeight="1" x14ac:dyDescent="0.4">
      <c r="B87" s="25"/>
      <c r="C87" s="23"/>
    </row>
    <row r="88" spans="2:3" ht="18.75" customHeight="1" x14ac:dyDescent="0.4">
      <c r="B88" s="25"/>
      <c r="C88" s="23"/>
    </row>
    <row r="89" spans="2:3" ht="18.75" customHeight="1" x14ac:dyDescent="0.4">
      <c r="B89" s="25"/>
      <c r="C89" s="23"/>
    </row>
    <row r="90" spans="2:3" ht="18.75" customHeight="1" x14ac:dyDescent="0.4">
      <c r="B90" s="25"/>
      <c r="C90" s="23"/>
    </row>
    <row r="91" spans="2:3" ht="18.75" customHeight="1" x14ac:dyDescent="0.4">
      <c r="B91" s="25"/>
      <c r="C91" s="23"/>
    </row>
    <row r="92" spans="2:3" ht="18.75" customHeight="1" x14ac:dyDescent="0.4">
      <c r="B92" s="25"/>
      <c r="C92" s="23"/>
    </row>
    <row r="93" spans="2:3" ht="18.75" customHeight="1" x14ac:dyDescent="0.4">
      <c r="B93" s="25"/>
      <c r="C93" s="23"/>
    </row>
    <row r="94" spans="2:3" ht="18.75" customHeight="1" x14ac:dyDescent="0.4">
      <c r="B94" s="25"/>
      <c r="C94" s="23"/>
    </row>
    <row r="95" spans="2:3" ht="18.75" customHeight="1" x14ac:dyDescent="0.4">
      <c r="B95" s="25"/>
      <c r="C95" s="23"/>
    </row>
    <row r="96" spans="2:3" ht="18.75" customHeight="1" x14ac:dyDescent="0.4">
      <c r="B96" s="25"/>
      <c r="C96" s="23"/>
    </row>
    <row r="97" spans="2:3" ht="18.75" customHeight="1" x14ac:dyDescent="0.4">
      <c r="B97" s="25"/>
      <c r="C97" s="23"/>
    </row>
    <row r="98" spans="2:3" ht="18.75" customHeight="1" x14ac:dyDescent="0.4">
      <c r="B98" s="25"/>
      <c r="C98" s="23"/>
    </row>
    <row r="99" spans="2:3" ht="18.75" customHeight="1" x14ac:dyDescent="0.4">
      <c r="B99" s="25"/>
      <c r="C99" s="23"/>
    </row>
    <row r="100" spans="2:3" ht="18.75" customHeight="1" x14ac:dyDescent="0.4">
      <c r="B100" s="25"/>
      <c r="C100" s="23"/>
    </row>
    <row r="101" spans="2:3" ht="18.75" customHeight="1" x14ac:dyDescent="0.4">
      <c r="B101" s="25"/>
      <c r="C101" s="23"/>
    </row>
    <row r="102" spans="2:3" ht="18.75" customHeight="1" x14ac:dyDescent="0.4">
      <c r="B102" s="25"/>
      <c r="C102" s="23"/>
    </row>
    <row r="103" spans="2:3" ht="18.75" customHeight="1" x14ac:dyDescent="0.4">
      <c r="B103" s="25"/>
      <c r="C103" s="23"/>
    </row>
    <row r="104" spans="2:3" ht="18.75" customHeight="1" x14ac:dyDescent="0.4">
      <c r="B104" s="25"/>
      <c r="C104" s="23"/>
    </row>
    <row r="105" spans="2:3" ht="18.75" customHeight="1" x14ac:dyDescent="0.4">
      <c r="B105" s="25"/>
      <c r="C105" s="23"/>
    </row>
    <row r="106" spans="2:3" ht="18.75" customHeight="1" x14ac:dyDescent="0.4">
      <c r="B106" s="25"/>
      <c r="C106" s="23"/>
    </row>
    <row r="107" spans="2:3" ht="18.75" customHeight="1" x14ac:dyDescent="0.4">
      <c r="B107" s="25"/>
      <c r="C107" s="23"/>
    </row>
    <row r="108" spans="2:3" ht="18.75" customHeight="1" x14ac:dyDescent="0.4">
      <c r="B108" s="25"/>
      <c r="C108" s="23"/>
    </row>
    <row r="109" spans="2:3" ht="18.75" customHeight="1" x14ac:dyDescent="0.4">
      <c r="B109" s="25"/>
      <c r="C109" s="23"/>
    </row>
    <row r="110" spans="2:3" ht="18.75" customHeight="1" x14ac:dyDescent="0.4">
      <c r="B110" s="25"/>
      <c r="C110" s="23"/>
    </row>
    <row r="111" spans="2:3" ht="18.75" customHeight="1" x14ac:dyDescent="0.4">
      <c r="B111" s="25"/>
      <c r="C111" s="23"/>
    </row>
    <row r="112" spans="2:3" ht="18.75" customHeight="1" x14ac:dyDescent="0.4">
      <c r="B112" s="25"/>
      <c r="C112" s="23"/>
    </row>
    <row r="113" spans="2:3" ht="18.75" customHeight="1" x14ac:dyDescent="0.4">
      <c r="B113" s="25"/>
      <c r="C113" s="23"/>
    </row>
    <row r="114" spans="2:3" ht="18.75" customHeight="1" x14ac:dyDescent="0.4">
      <c r="B114" s="25"/>
      <c r="C114" s="23"/>
    </row>
    <row r="115" spans="2:3" ht="18.75" customHeight="1" x14ac:dyDescent="0.4">
      <c r="B115" s="25"/>
      <c r="C115" s="23"/>
    </row>
    <row r="116" spans="2:3" ht="18.75" customHeight="1" x14ac:dyDescent="0.4">
      <c r="B116" s="25"/>
      <c r="C116" s="23"/>
    </row>
    <row r="117" spans="2:3" ht="18.75" customHeight="1" x14ac:dyDescent="0.4">
      <c r="B117" s="25"/>
      <c r="C117" s="23"/>
    </row>
    <row r="118" spans="2:3" ht="18.75" customHeight="1" x14ac:dyDescent="0.4">
      <c r="B118" s="25"/>
      <c r="C118" s="23"/>
    </row>
    <row r="119" spans="2:3" ht="18.75" customHeight="1" x14ac:dyDescent="0.4">
      <c r="B119" s="25"/>
      <c r="C119" s="23"/>
    </row>
    <row r="120" spans="2:3" ht="18.75" customHeight="1" x14ac:dyDescent="0.4">
      <c r="B120" s="25"/>
      <c r="C120" s="23"/>
    </row>
    <row r="121" spans="2:3" ht="18.75" customHeight="1" x14ac:dyDescent="0.4">
      <c r="B121" s="25"/>
      <c r="C121" s="23"/>
    </row>
    <row r="122" spans="2:3" ht="18.75" customHeight="1" x14ac:dyDescent="0.4">
      <c r="B122" s="25"/>
      <c r="C122" s="23"/>
    </row>
    <row r="123" spans="2:3" ht="18.75" customHeight="1" x14ac:dyDescent="0.4">
      <c r="B123" s="25"/>
      <c r="C123" s="23"/>
    </row>
    <row r="124" spans="2:3" ht="18.75" customHeight="1" x14ac:dyDescent="0.4">
      <c r="B124" s="25"/>
      <c r="C124" s="23"/>
    </row>
    <row r="125" spans="2:3" ht="18.75" customHeight="1" x14ac:dyDescent="0.4">
      <c r="B125" s="25"/>
      <c r="C125" s="23"/>
    </row>
    <row r="126" spans="2:3" ht="18.75" customHeight="1" x14ac:dyDescent="0.4">
      <c r="B126" s="25"/>
      <c r="C126" s="23"/>
    </row>
    <row r="127" spans="2:3" ht="18.75" customHeight="1" x14ac:dyDescent="0.4">
      <c r="B127" s="25"/>
      <c r="C127" s="23"/>
    </row>
    <row r="128" spans="2:3" ht="18.75" customHeight="1" x14ac:dyDescent="0.4">
      <c r="B128" s="25"/>
      <c r="C128" s="23"/>
    </row>
    <row r="129" spans="2:3" ht="18.75" customHeight="1" x14ac:dyDescent="0.4">
      <c r="B129" s="25"/>
      <c r="C129" s="23"/>
    </row>
    <row r="130" spans="2:3" ht="18.75" customHeight="1" x14ac:dyDescent="0.4">
      <c r="B130" s="25"/>
      <c r="C130" s="23"/>
    </row>
    <row r="131" spans="2:3" ht="18.75" customHeight="1" x14ac:dyDescent="0.4">
      <c r="B131" s="25"/>
      <c r="C131" s="23"/>
    </row>
    <row r="132" spans="2:3" ht="18.75" customHeight="1" x14ac:dyDescent="0.4">
      <c r="B132" s="25"/>
      <c r="C132" s="23"/>
    </row>
    <row r="133" spans="2:3" ht="18.75" customHeight="1" x14ac:dyDescent="0.4">
      <c r="B133" s="25"/>
      <c r="C133" s="23"/>
    </row>
    <row r="134" spans="2:3" ht="18.75" customHeight="1" x14ac:dyDescent="0.4">
      <c r="B134" s="25"/>
      <c r="C134" s="23"/>
    </row>
    <row r="135" spans="2:3" ht="18.75" customHeight="1" x14ac:dyDescent="0.4">
      <c r="B135" s="25"/>
      <c r="C135" s="23"/>
    </row>
    <row r="136" spans="2:3" ht="18.75" customHeight="1" x14ac:dyDescent="0.4">
      <c r="B136" s="25"/>
      <c r="C136" s="23"/>
    </row>
    <row r="137" spans="2:3" ht="18.75" customHeight="1" x14ac:dyDescent="0.4">
      <c r="B137" s="25"/>
      <c r="C137" s="23"/>
    </row>
    <row r="138" spans="2:3" ht="18.75" customHeight="1" x14ac:dyDescent="0.4">
      <c r="B138" s="25"/>
      <c r="C138" s="23"/>
    </row>
    <row r="139" spans="2:3" ht="18.75" customHeight="1" x14ac:dyDescent="0.4">
      <c r="B139" s="25"/>
      <c r="C139" s="23"/>
    </row>
    <row r="140" spans="2:3" ht="18.75" customHeight="1" x14ac:dyDescent="0.4">
      <c r="B140" s="25"/>
      <c r="C140" s="23"/>
    </row>
    <row r="141" spans="2:3" ht="18.75" customHeight="1" x14ac:dyDescent="0.4">
      <c r="B141" s="25"/>
      <c r="C141" s="23"/>
    </row>
    <row r="142" spans="2:3" ht="18.75" customHeight="1" x14ac:dyDescent="0.4">
      <c r="B142" s="25"/>
      <c r="C142" s="23"/>
    </row>
    <row r="143" spans="2:3" ht="18.75" customHeight="1" x14ac:dyDescent="0.4">
      <c r="B143" s="25"/>
      <c r="C143" s="23"/>
    </row>
    <row r="144" spans="2:3" ht="18.75" customHeight="1" x14ac:dyDescent="0.4">
      <c r="B144" s="25"/>
      <c r="C144" s="23"/>
    </row>
    <row r="145" spans="2:3" ht="18.75" customHeight="1" x14ac:dyDescent="0.4">
      <c r="B145" s="25"/>
      <c r="C145" s="23"/>
    </row>
    <row r="146" spans="2:3" ht="18.75" customHeight="1" x14ac:dyDescent="0.4">
      <c r="B146" s="25"/>
      <c r="C146" s="23"/>
    </row>
    <row r="147" spans="2:3" ht="18.75" customHeight="1" x14ac:dyDescent="0.4">
      <c r="B147" s="25"/>
      <c r="C147" s="23"/>
    </row>
    <row r="148" spans="2:3" ht="18.75" customHeight="1" x14ac:dyDescent="0.4">
      <c r="B148" s="25"/>
      <c r="C148" s="23"/>
    </row>
    <row r="149" spans="2:3" ht="18.75" customHeight="1" x14ac:dyDescent="0.4">
      <c r="B149" s="25"/>
      <c r="C149" s="23"/>
    </row>
    <row r="150" spans="2:3" ht="18.75" customHeight="1" x14ac:dyDescent="0.4">
      <c r="B150" s="25"/>
      <c r="C150" s="23"/>
    </row>
    <row r="151" spans="2:3" ht="18.75" customHeight="1" x14ac:dyDescent="0.4">
      <c r="B151" s="25"/>
      <c r="C151" s="23"/>
    </row>
    <row r="152" spans="2:3" ht="18.75" customHeight="1" x14ac:dyDescent="0.4">
      <c r="B152" s="25"/>
      <c r="C152" s="23"/>
    </row>
    <row r="153" spans="2:3" ht="18.75" customHeight="1" x14ac:dyDescent="0.4">
      <c r="B153" s="25"/>
      <c r="C153" s="23"/>
    </row>
    <row r="154" spans="2:3" ht="18.75" customHeight="1" x14ac:dyDescent="0.4">
      <c r="B154" s="25"/>
      <c r="C154" s="23"/>
    </row>
    <row r="155" spans="2:3" ht="18.75" customHeight="1" x14ac:dyDescent="0.4">
      <c r="B155" s="25"/>
      <c r="C155" s="23"/>
    </row>
    <row r="156" spans="2:3" ht="18.75" customHeight="1" x14ac:dyDescent="0.4">
      <c r="B156" s="25"/>
      <c r="C156" s="23"/>
    </row>
    <row r="157" spans="2:3" ht="18.75" customHeight="1" x14ac:dyDescent="0.4">
      <c r="B157" s="25"/>
      <c r="C157" s="23"/>
    </row>
    <row r="158" spans="2:3" ht="18.75" customHeight="1" x14ac:dyDescent="0.4">
      <c r="B158" s="25"/>
      <c r="C158" s="23"/>
    </row>
    <row r="159" spans="2:3" ht="18.75" customHeight="1" x14ac:dyDescent="0.4">
      <c r="B159" s="25"/>
      <c r="C159" s="23"/>
    </row>
    <row r="160" spans="2:3" ht="18.75" customHeight="1" x14ac:dyDescent="0.4">
      <c r="B160" s="25"/>
      <c r="C160" s="23"/>
    </row>
    <row r="161" spans="2:3" ht="18.75" customHeight="1" x14ac:dyDescent="0.4">
      <c r="B161" s="25"/>
      <c r="C161" s="23"/>
    </row>
    <row r="162" spans="2:3" ht="18.75" customHeight="1" x14ac:dyDescent="0.4">
      <c r="B162" s="25"/>
      <c r="C162" s="23"/>
    </row>
    <row r="163" spans="2:3" ht="18.75" customHeight="1" x14ac:dyDescent="0.4">
      <c r="B163" s="25"/>
      <c r="C163" s="23"/>
    </row>
    <row r="164" spans="2:3" ht="18.75" customHeight="1" x14ac:dyDescent="0.4">
      <c r="B164" s="25"/>
      <c r="C164" s="23"/>
    </row>
    <row r="165" spans="2:3" ht="18.75" customHeight="1" x14ac:dyDescent="0.4">
      <c r="B165" s="25"/>
      <c r="C165" s="23"/>
    </row>
    <row r="166" spans="2:3" ht="18.75" customHeight="1" x14ac:dyDescent="0.4">
      <c r="B166" s="25"/>
      <c r="C166" s="23"/>
    </row>
    <row r="167" spans="2:3" ht="18.75" customHeight="1" x14ac:dyDescent="0.4">
      <c r="B167" s="25"/>
      <c r="C167" s="23"/>
    </row>
    <row r="168" spans="2:3" ht="18.75" customHeight="1" x14ac:dyDescent="0.4">
      <c r="B168" s="25"/>
      <c r="C168" s="23"/>
    </row>
    <row r="169" spans="2:3" ht="18.75" customHeight="1" x14ac:dyDescent="0.4">
      <c r="B169" s="25"/>
      <c r="C169" s="23"/>
    </row>
    <row r="170" spans="2:3" ht="18.75" customHeight="1" x14ac:dyDescent="0.4">
      <c r="B170" s="25"/>
      <c r="C170" s="23"/>
    </row>
    <row r="171" spans="2:3" ht="18.75" customHeight="1" x14ac:dyDescent="0.4">
      <c r="B171" s="25"/>
      <c r="C171" s="23"/>
    </row>
    <row r="172" spans="2:3" ht="18.75" customHeight="1" x14ac:dyDescent="0.4">
      <c r="B172" s="25"/>
      <c r="C172" s="23"/>
    </row>
    <row r="173" spans="2:3" ht="18.75" customHeight="1" x14ac:dyDescent="0.4">
      <c r="B173" s="25"/>
      <c r="C173" s="23"/>
    </row>
    <row r="174" spans="2:3" ht="18.75" customHeight="1" x14ac:dyDescent="0.4">
      <c r="B174" s="25"/>
      <c r="C174" s="23"/>
    </row>
    <row r="175" spans="2:3" ht="18.75" customHeight="1" x14ac:dyDescent="0.4">
      <c r="B175" s="25"/>
      <c r="C175" s="23"/>
    </row>
    <row r="176" spans="2:3" ht="18.75" customHeight="1" x14ac:dyDescent="0.4">
      <c r="B176" s="25"/>
      <c r="C176" s="23"/>
    </row>
    <row r="177" spans="2:3" ht="18.75" customHeight="1" x14ac:dyDescent="0.4">
      <c r="B177" s="25"/>
      <c r="C177" s="23"/>
    </row>
    <row r="178" spans="2:3" ht="18.75" customHeight="1" x14ac:dyDescent="0.4">
      <c r="B178" s="25"/>
      <c r="C178" s="23"/>
    </row>
    <row r="179" spans="2:3" ht="18.75" customHeight="1" x14ac:dyDescent="0.4">
      <c r="B179" s="25"/>
      <c r="C179" s="23"/>
    </row>
    <row r="180" spans="2:3" ht="18.75" customHeight="1" x14ac:dyDescent="0.4">
      <c r="B180" s="25"/>
      <c r="C180" s="23"/>
    </row>
    <row r="181" spans="2:3" ht="18.75" customHeight="1" x14ac:dyDescent="0.4">
      <c r="B181" s="25"/>
      <c r="C181" s="23"/>
    </row>
    <row r="182" spans="2:3" ht="18.75" customHeight="1" x14ac:dyDescent="0.4">
      <c r="B182" s="25"/>
      <c r="C182" s="23"/>
    </row>
    <row r="183" spans="2:3" ht="18.75" customHeight="1" x14ac:dyDescent="0.4">
      <c r="B183" s="25"/>
      <c r="C183" s="23"/>
    </row>
    <row r="184" spans="2:3" ht="18.75" customHeight="1" x14ac:dyDescent="0.4">
      <c r="B184" s="25"/>
      <c r="C184" s="23"/>
    </row>
    <row r="185" spans="2:3" ht="18.75" customHeight="1" x14ac:dyDescent="0.4">
      <c r="B185" s="25"/>
      <c r="C185" s="23"/>
    </row>
    <row r="186" spans="2:3" ht="18.75" customHeight="1" x14ac:dyDescent="0.4">
      <c r="B186" s="25"/>
      <c r="C186" s="23"/>
    </row>
    <row r="187" spans="2:3" ht="18.75" customHeight="1" x14ac:dyDescent="0.4">
      <c r="B187" s="25"/>
      <c r="C187" s="23"/>
    </row>
    <row r="188" spans="2:3" ht="18.75" customHeight="1" x14ac:dyDescent="0.4">
      <c r="B188" s="25"/>
      <c r="C188" s="23"/>
    </row>
    <row r="189" spans="2:3" ht="18.75" customHeight="1" x14ac:dyDescent="0.4">
      <c r="B189" s="25"/>
      <c r="C189" s="23"/>
    </row>
    <row r="190" spans="2:3" ht="18.75" customHeight="1" x14ac:dyDescent="0.4">
      <c r="B190" s="25"/>
      <c r="C190" s="23"/>
    </row>
    <row r="191" spans="2:3" ht="18.75" customHeight="1" x14ac:dyDescent="0.4">
      <c r="B191" s="25"/>
      <c r="C191" s="23"/>
    </row>
    <row r="192" spans="2:3" ht="18.75" customHeight="1" x14ac:dyDescent="0.4">
      <c r="B192" s="25"/>
      <c r="C192" s="23"/>
    </row>
    <row r="193" spans="2:3" ht="18.75" customHeight="1" x14ac:dyDescent="0.4">
      <c r="B193" s="25"/>
      <c r="C193" s="23"/>
    </row>
    <row r="194" spans="2:3" ht="18.75" customHeight="1" x14ac:dyDescent="0.4">
      <c r="B194" s="25"/>
      <c r="C194" s="23"/>
    </row>
    <row r="195" spans="2:3" ht="18.75" customHeight="1" x14ac:dyDescent="0.4">
      <c r="B195" s="25"/>
      <c r="C195" s="23"/>
    </row>
    <row r="196" spans="2:3" ht="18.75" customHeight="1" x14ac:dyDescent="0.4">
      <c r="B196" s="25"/>
      <c r="C196" s="23"/>
    </row>
    <row r="197" spans="2:3" ht="18.75" customHeight="1" x14ac:dyDescent="0.4">
      <c r="B197" s="25"/>
      <c r="C197" s="23"/>
    </row>
    <row r="198" spans="2:3" ht="18.75" customHeight="1" x14ac:dyDescent="0.4">
      <c r="B198" s="25"/>
      <c r="C198" s="23"/>
    </row>
    <row r="199" spans="2:3" ht="18.75" customHeight="1" x14ac:dyDescent="0.4">
      <c r="B199" s="25"/>
      <c r="C199" s="23"/>
    </row>
    <row r="200" spans="2:3" ht="18.75" customHeight="1" x14ac:dyDescent="0.4">
      <c r="B200" s="25"/>
      <c r="C200" s="23"/>
    </row>
    <row r="201" spans="2:3" ht="18.75" customHeight="1" x14ac:dyDescent="0.4">
      <c r="B201" s="25"/>
      <c r="C201" s="23"/>
    </row>
    <row r="202" spans="2:3" ht="18.75" customHeight="1" x14ac:dyDescent="0.4">
      <c r="B202" s="25"/>
      <c r="C202" s="23"/>
    </row>
    <row r="203" spans="2:3" ht="18.75" customHeight="1" x14ac:dyDescent="0.4">
      <c r="B203" s="25"/>
      <c r="C203" s="23"/>
    </row>
    <row r="204" spans="2:3" ht="18.75" customHeight="1" x14ac:dyDescent="0.4">
      <c r="B204" s="25"/>
      <c r="C204" s="23"/>
    </row>
    <row r="205" spans="2:3" ht="18.75" customHeight="1" x14ac:dyDescent="0.4">
      <c r="B205" s="25"/>
      <c r="C205" s="23"/>
    </row>
    <row r="206" spans="2:3" ht="18.75" customHeight="1" x14ac:dyDescent="0.4">
      <c r="B206" s="25"/>
      <c r="C206" s="23"/>
    </row>
    <row r="207" spans="2:3" ht="18.75" customHeight="1" x14ac:dyDescent="0.4">
      <c r="B207" s="25"/>
      <c r="C207" s="23"/>
    </row>
    <row r="208" spans="2:3" ht="18.75" customHeight="1" x14ac:dyDescent="0.4">
      <c r="B208" s="25"/>
      <c r="C208" s="23"/>
    </row>
    <row r="209" spans="2:3" ht="18.75" customHeight="1" x14ac:dyDescent="0.4">
      <c r="B209" s="25"/>
      <c r="C209" s="23"/>
    </row>
    <row r="210" spans="2:3" ht="18.75" customHeight="1" x14ac:dyDescent="0.4">
      <c r="B210" s="25"/>
      <c r="C210" s="23"/>
    </row>
    <row r="211" spans="2:3" ht="18.75" customHeight="1" x14ac:dyDescent="0.4">
      <c r="B211" s="25"/>
      <c r="C211" s="23"/>
    </row>
    <row r="212" spans="2:3" ht="18.75" customHeight="1" x14ac:dyDescent="0.4">
      <c r="B212" s="25"/>
      <c r="C212" s="23"/>
    </row>
    <row r="213" spans="2:3" ht="18.75" customHeight="1" x14ac:dyDescent="0.4">
      <c r="B213" s="25"/>
      <c r="C213" s="23"/>
    </row>
    <row r="214" spans="2:3" ht="18.75" customHeight="1" x14ac:dyDescent="0.4">
      <c r="B214" s="25"/>
      <c r="C214" s="23"/>
    </row>
    <row r="215" spans="2:3" ht="18.75" customHeight="1" x14ac:dyDescent="0.4">
      <c r="B215" s="25"/>
      <c r="C215" s="23"/>
    </row>
    <row r="216" spans="2:3" ht="18.75" customHeight="1" x14ac:dyDescent="0.4">
      <c r="B216" s="25"/>
      <c r="C216" s="23"/>
    </row>
    <row r="217" spans="2:3" ht="18.75" customHeight="1" x14ac:dyDescent="0.4">
      <c r="B217" s="25"/>
      <c r="C217" s="23"/>
    </row>
    <row r="218" spans="2:3" ht="18.75" customHeight="1" x14ac:dyDescent="0.4">
      <c r="B218" s="25"/>
      <c r="C218" s="23"/>
    </row>
    <row r="219" spans="2:3" ht="18.75" customHeight="1" x14ac:dyDescent="0.4">
      <c r="B219" s="25"/>
      <c r="C219" s="23"/>
    </row>
    <row r="220" spans="2:3" ht="18.75" customHeight="1" x14ac:dyDescent="0.4">
      <c r="B220" s="25"/>
      <c r="C220" s="23"/>
    </row>
    <row r="221" spans="2:3" ht="18.75" customHeight="1" x14ac:dyDescent="0.4">
      <c r="B221" s="25"/>
      <c r="C221" s="23"/>
    </row>
    <row r="222" spans="2:3" ht="18.75" customHeight="1" x14ac:dyDescent="0.4">
      <c r="B222" s="25"/>
      <c r="C222" s="23"/>
    </row>
    <row r="223" spans="2:3" ht="18.75" customHeight="1" x14ac:dyDescent="0.4">
      <c r="B223" s="25"/>
      <c r="C223" s="23"/>
    </row>
    <row r="224" spans="2:3" ht="18.75" customHeight="1" x14ac:dyDescent="0.4">
      <c r="B224" s="25"/>
      <c r="C224" s="23"/>
    </row>
    <row r="225" spans="2:3" ht="18.75" customHeight="1" x14ac:dyDescent="0.4">
      <c r="B225" s="25"/>
      <c r="C225" s="23"/>
    </row>
    <row r="226" spans="2:3" ht="18.75" customHeight="1" x14ac:dyDescent="0.4">
      <c r="B226" s="25"/>
      <c r="C226" s="23"/>
    </row>
    <row r="227" spans="2:3" ht="18.75" customHeight="1" x14ac:dyDescent="0.4">
      <c r="B227" s="25"/>
      <c r="C227" s="23"/>
    </row>
    <row r="228" spans="2:3" ht="18.75" customHeight="1" x14ac:dyDescent="0.4">
      <c r="B228" s="25"/>
      <c r="C228" s="23"/>
    </row>
    <row r="229" spans="2:3" ht="18.75" customHeight="1" x14ac:dyDescent="0.4">
      <c r="B229" s="25"/>
      <c r="C229" s="23"/>
    </row>
    <row r="230" spans="2:3" ht="18.75" customHeight="1" x14ac:dyDescent="0.4">
      <c r="B230" s="25"/>
      <c r="C230" s="23"/>
    </row>
    <row r="231" spans="2:3" ht="18.75" customHeight="1" x14ac:dyDescent="0.4">
      <c r="B231" s="25"/>
      <c r="C231" s="23"/>
    </row>
    <row r="232" spans="2:3" ht="18.75" customHeight="1" x14ac:dyDescent="0.4">
      <c r="B232" s="25"/>
      <c r="C232" s="23"/>
    </row>
    <row r="233" spans="2:3" ht="18.75" customHeight="1" x14ac:dyDescent="0.4">
      <c r="B233" s="25"/>
      <c r="C233" s="23"/>
    </row>
    <row r="234" spans="2:3" ht="18.75" customHeight="1" x14ac:dyDescent="0.4">
      <c r="B234" s="25"/>
      <c r="C234" s="23"/>
    </row>
    <row r="235" spans="2:3" ht="18.75" customHeight="1" x14ac:dyDescent="0.4">
      <c r="B235" s="25"/>
      <c r="C235" s="23"/>
    </row>
    <row r="236" spans="2:3" ht="18.75" customHeight="1" x14ac:dyDescent="0.4">
      <c r="B236" s="25"/>
      <c r="C236" s="23"/>
    </row>
    <row r="237" spans="2:3" ht="18.75" customHeight="1" x14ac:dyDescent="0.4">
      <c r="B237" s="25"/>
      <c r="C237" s="23"/>
    </row>
    <row r="238" spans="2:3" ht="18.75" customHeight="1" x14ac:dyDescent="0.4">
      <c r="B238" s="25"/>
      <c r="C238" s="23"/>
    </row>
    <row r="239" spans="2:3" ht="18.75" customHeight="1" x14ac:dyDescent="0.4">
      <c r="B239" s="25"/>
      <c r="C239" s="23"/>
    </row>
    <row r="240" spans="2:3" ht="18.75" customHeight="1" x14ac:dyDescent="0.4">
      <c r="B240" s="25"/>
      <c r="C240" s="23"/>
    </row>
    <row r="241" spans="2:3" ht="18.75" customHeight="1" x14ac:dyDescent="0.4">
      <c r="B241" s="25"/>
      <c r="C241" s="23"/>
    </row>
    <row r="242" spans="2:3" ht="18.75" customHeight="1" x14ac:dyDescent="0.4">
      <c r="B242" s="25"/>
      <c r="C242" s="23"/>
    </row>
    <row r="243" spans="2:3" ht="18.75" customHeight="1" x14ac:dyDescent="0.4">
      <c r="B243" s="25"/>
      <c r="C243" s="23"/>
    </row>
    <row r="244" spans="2:3" ht="18.75" customHeight="1" x14ac:dyDescent="0.4">
      <c r="B244" s="25"/>
      <c r="C244" s="23"/>
    </row>
    <row r="245" spans="2:3" ht="18.75" customHeight="1" x14ac:dyDescent="0.4">
      <c r="B245" s="25"/>
      <c r="C245" s="23"/>
    </row>
    <row r="246" spans="2:3" ht="18.75" customHeight="1" x14ac:dyDescent="0.4">
      <c r="B246" s="25"/>
      <c r="C246" s="23"/>
    </row>
    <row r="247" spans="2:3" ht="18.75" customHeight="1" x14ac:dyDescent="0.4">
      <c r="B247" s="25"/>
      <c r="C247" s="23"/>
    </row>
    <row r="248" spans="2:3" ht="18.75" customHeight="1" x14ac:dyDescent="0.4">
      <c r="B248" s="25"/>
      <c r="C248" s="23"/>
    </row>
    <row r="249" spans="2:3" ht="18.75" customHeight="1" x14ac:dyDescent="0.4">
      <c r="B249" s="25"/>
      <c r="C249" s="23"/>
    </row>
    <row r="250" spans="2:3" ht="18.75" customHeight="1" x14ac:dyDescent="0.4">
      <c r="B250" s="25"/>
      <c r="C250" s="23"/>
    </row>
    <row r="251" spans="2:3" ht="18.75" customHeight="1" x14ac:dyDescent="0.4">
      <c r="B251" s="25"/>
      <c r="C251" s="23"/>
    </row>
    <row r="252" spans="2:3" ht="18.75" customHeight="1" x14ac:dyDescent="0.4">
      <c r="B252" s="25"/>
      <c r="C252" s="23"/>
    </row>
    <row r="253" spans="2:3" ht="18.75" customHeight="1" x14ac:dyDescent="0.4">
      <c r="B253" s="25"/>
      <c r="C253" s="23"/>
    </row>
    <row r="254" spans="2:3" ht="18.75" customHeight="1" x14ac:dyDescent="0.4">
      <c r="B254" s="25"/>
      <c r="C254" s="23"/>
    </row>
    <row r="255" spans="2:3" ht="18.75" customHeight="1" x14ac:dyDescent="0.4">
      <c r="B255" s="25"/>
      <c r="C255" s="23"/>
    </row>
    <row r="256" spans="2:3" ht="18.75" customHeight="1" x14ac:dyDescent="0.4">
      <c r="B256" s="25"/>
      <c r="C256" s="23"/>
    </row>
    <row r="257" spans="2:3" ht="18.75" customHeight="1" x14ac:dyDescent="0.4">
      <c r="B257" s="25"/>
      <c r="C257" s="23"/>
    </row>
    <row r="258" spans="2:3" ht="18.75" customHeight="1" x14ac:dyDescent="0.4">
      <c r="B258" s="25"/>
      <c r="C258" s="23"/>
    </row>
    <row r="259" spans="2:3" ht="18.75" customHeight="1" x14ac:dyDescent="0.4">
      <c r="B259" s="25"/>
      <c r="C259" s="23"/>
    </row>
    <row r="260" spans="2:3" ht="18.75" customHeight="1" x14ac:dyDescent="0.4">
      <c r="B260" s="25"/>
      <c r="C260" s="23"/>
    </row>
    <row r="261" spans="2:3" ht="18.75" customHeight="1" x14ac:dyDescent="0.4">
      <c r="B261" s="25"/>
      <c r="C261" s="23"/>
    </row>
    <row r="262" spans="2:3" ht="18.75" customHeight="1" x14ac:dyDescent="0.4">
      <c r="B262" s="25"/>
      <c r="C262" s="23"/>
    </row>
    <row r="263" spans="2:3" ht="18.75" customHeight="1" x14ac:dyDescent="0.4">
      <c r="B263" s="25"/>
      <c r="C263" s="23"/>
    </row>
    <row r="264" spans="2:3" ht="18.75" customHeight="1" x14ac:dyDescent="0.4">
      <c r="B264" s="25"/>
      <c r="C264" s="23"/>
    </row>
    <row r="265" spans="2:3" ht="18.75" customHeight="1" x14ac:dyDescent="0.4">
      <c r="B265" s="25"/>
      <c r="C265" s="23"/>
    </row>
    <row r="266" spans="2:3" ht="18.75" customHeight="1" x14ac:dyDescent="0.4">
      <c r="B266" s="25"/>
      <c r="C266" s="23"/>
    </row>
    <row r="267" spans="2:3" ht="18.75" customHeight="1" x14ac:dyDescent="0.4">
      <c r="B267" s="25"/>
      <c r="C267" s="23"/>
    </row>
    <row r="268" spans="2:3" ht="18.75" customHeight="1" x14ac:dyDescent="0.4">
      <c r="B268" s="25"/>
      <c r="C268" s="23"/>
    </row>
    <row r="269" spans="2:3" ht="18.75" customHeight="1" x14ac:dyDescent="0.4">
      <c r="B269" s="25"/>
      <c r="C269" s="23"/>
    </row>
    <row r="270" spans="2:3" ht="18.75" customHeight="1" x14ac:dyDescent="0.4">
      <c r="B270" s="25"/>
      <c r="C270" s="23"/>
    </row>
    <row r="271" spans="2:3" ht="18.75" customHeight="1" x14ac:dyDescent="0.4">
      <c r="B271" s="25"/>
      <c r="C271" s="23"/>
    </row>
    <row r="272" spans="2:3" ht="18.75" customHeight="1" x14ac:dyDescent="0.4">
      <c r="B272" s="25"/>
      <c r="C272" s="23"/>
    </row>
    <row r="273" spans="2:3" ht="18.75" customHeight="1" x14ac:dyDescent="0.4">
      <c r="B273" s="25"/>
      <c r="C273" s="23"/>
    </row>
    <row r="274" spans="2:3" ht="18.75" customHeight="1" x14ac:dyDescent="0.4">
      <c r="B274" s="25"/>
      <c r="C274" s="23"/>
    </row>
    <row r="275" spans="2:3" ht="18.75" customHeight="1" x14ac:dyDescent="0.4">
      <c r="B275" s="25"/>
      <c r="C275" s="23"/>
    </row>
    <row r="276" spans="2:3" ht="18.75" customHeight="1" x14ac:dyDescent="0.4">
      <c r="B276" s="25"/>
      <c r="C276" s="23"/>
    </row>
    <row r="277" spans="2:3" ht="18.75" customHeight="1" x14ac:dyDescent="0.4">
      <c r="B277" s="25"/>
      <c r="C277" s="23"/>
    </row>
    <row r="278" spans="2:3" ht="18.75" customHeight="1" x14ac:dyDescent="0.4">
      <c r="B278" s="25"/>
      <c r="C278" s="23"/>
    </row>
    <row r="279" spans="2:3" ht="18.75" customHeight="1" x14ac:dyDescent="0.4">
      <c r="B279" s="25"/>
      <c r="C279" s="23"/>
    </row>
    <row r="280" spans="2:3" ht="18.75" customHeight="1" x14ac:dyDescent="0.4">
      <c r="B280" s="25"/>
      <c r="C280" s="23"/>
    </row>
    <row r="281" spans="2:3" ht="18.75" customHeight="1" x14ac:dyDescent="0.4">
      <c r="B281" s="25"/>
      <c r="C281" s="23"/>
    </row>
    <row r="282" spans="2:3" ht="18.75" customHeight="1" x14ac:dyDescent="0.4">
      <c r="B282" s="25"/>
      <c r="C282" s="23"/>
    </row>
    <row r="283" spans="2:3" ht="18.75" customHeight="1" x14ac:dyDescent="0.4">
      <c r="B283" s="25"/>
      <c r="C283" s="23"/>
    </row>
    <row r="284" spans="2:3" ht="18.75" customHeight="1" x14ac:dyDescent="0.4">
      <c r="B284" s="25"/>
      <c r="C284" s="23"/>
    </row>
    <row r="285" spans="2:3" ht="18.75" customHeight="1" x14ac:dyDescent="0.4">
      <c r="B285" s="25"/>
      <c r="C285" s="23"/>
    </row>
    <row r="286" spans="2:3" ht="18.75" customHeight="1" x14ac:dyDescent="0.4">
      <c r="B286" s="25"/>
      <c r="C286" s="23"/>
    </row>
    <row r="287" spans="2:3" ht="18.75" customHeight="1" x14ac:dyDescent="0.4">
      <c r="B287" s="25"/>
      <c r="C287" s="23"/>
    </row>
    <row r="288" spans="2:3" ht="18.75" customHeight="1" x14ac:dyDescent="0.4">
      <c r="B288" s="25"/>
      <c r="C288" s="23"/>
    </row>
    <row r="289" spans="2:3" ht="18.75" customHeight="1" x14ac:dyDescent="0.4">
      <c r="B289" s="25"/>
      <c r="C289" s="23"/>
    </row>
    <row r="290" spans="2:3" ht="18.75" customHeight="1" x14ac:dyDescent="0.4">
      <c r="B290" s="25"/>
      <c r="C290" s="23"/>
    </row>
    <row r="291" spans="2:3" ht="18.75" customHeight="1" x14ac:dyDescent="0.4">
      <c r="B291" s="25"/>
      <c r="C291" s="23"/>
    </row>
    <row r="292" spans="2:3" ht="18.75" customHeight="1" x14ac:dyDescent="0.4">
      <c r="B292" s="25"/>
      <c r="C292" s="23"/>
    </row>
    <row r="293" spans="2:3" ht="18.75" customHeight="1" x14ac:dyDescent="0.4">
      <c r="B293" s="25"/>
      <c r="C293" s="23"/>
    </row>
    <row r="294" spans="2:3" ht="18.75" customHeight="1" x14ac:dyDescent="0.4">
      <c r="B294" s="25"/>
      <c r="C294" s="23"/>
    </row>
    <row r="295" spans="2:3" ht="18.75" customHeight="1" x14ac:dyDescent="0.4">
      <c r="B295" s="25"/>
      <c r="C295" s="23"/>
    </row>
    <row r="296" spans="2:3" ht="18.75" customHeight="1" x14ac:dyDescent="0.4">
      <c r="B296" s="25"/>
      <c r="C296" s="23"/>
    </row>
    <row r="297" spans="2:3" ht="18.75" customHeight="1" x14ac:dyDescent="0.4">
      <c r="B297" s="25"/>
      <c r="C297" s="23"/>
    </row>
    <row r="298" spans="2:3" ht="18.75" customHeight="1" x14ac:dyDescent="0.4">
      <c r="B298" s="25"/>
      <c r="C298" s="23"/>
    </row>
    <row r="299" spans="2:3" ht="18.75" customHeight="1" x14ac:dyDescent="0.4">
      <c r="B299" s="25"/>
      <c r="C299" s="23"/>
    </row>
    <row r="300" spans="2:3" ht="18.75" customHeight="1" x14ac:dyDescent="0.4">
      <c r="B300" s="25"/>
      <c r="C300" s="23"/>
    </row>
    <row r="301" spans="2:3" ht="18.75" customHeight="1" x14ac:dyDescent="0.4">
      <c r="B301" s="25"/>
      <c r="C301" s="23"/>
    </row>
    <row r="302" spans="2:3" ht="18.75" customHeight="1" x14ac:dyDescent="0.4">
      <c r="B302" s="25"/>
      <c r="C302" s="23"/>
    </row>
    <row r="303" spans="2:3" ht="18.75" customHeight="1" x14ac:dyDescent="0.4">
      <c r="B303" s="25"/>
      <c r="C303" s="23"/>
    </row>
    <row r="304" spans="2:3" ht="18.75" customHeight="1" x14ac:dyDescent="0.4">
      <c r="B304" s="25"/>
      <c r="C304" s="23"/>
    </row>
    <row r="305" spans="2:3" ht="18.75" customHeight="1" x14ac:dyDescent="0.4">
      <c r="B305" s="25"/>
      <c r="C305" s="23"/>
    </row>
    <row r="306" spans="2:3" ht="18.75" customHeight="1" x14ac:dyDescent="0.4">
      <c r="B306" s="25"/>
      <c r="C306" s="23"/>
    </row>
    <row r="307" spans="2:3" ht="18.75" customHeight="1" x14ac:dyDescent="0.4">
      <c r="B307" s="25"/>
      <c r="C307" s="23"/>
    </row>
    <row r="308" spans="2:3" ht="18.75" customHeight="1" x14ac:dyDescent="0.4">
      <c r="B308" s="25"/>
      <c r="C308" s="23"/>
    </row>
    <row r="309" spans="2:3" ht="18.75" customHeight="1" x14ac:dyDescent="0.4">
      <c r="B309" s="25"/>
      <c r="C309" s="23"/>
    </row>
    <row r="310" spans="2:3" ht="18.75" customHeight="1" x14ac:dyDescent="0.4">
      <c r="B310" s="25"/>
      <c r="C310" s="23"/>
    </row>
    <row r="311" spans="2:3" ht="18.75" customHeight="1" x14ac:dyDescent="0.4">
      <c r="B311" s="25"/>
      <c r="C311" s="23"/>
    </row>
    <row r="312" spans="2:3" ht="18.75" customHeight="1" x14ac:dyDescent="0.4">
      <c r="B312" s="25"/>
      <c r="C312" s="23"/>
    </row>
    <row r="313" spans="2:3" ht="18.75" customHeight="1" x14ac:dyDescent="0.4">
      <c r="B313" s="25"/>
      <c r="C313" s="23"/>
    </row>
    <row r="314" spans="2:3" ht="18.75" customHeight="1" x14ac:dyDescent="0.4">
      <c r="B314" s="25"/>
      <c r="C314" s="23"/>
    </row>
    <row r="315" spans="2:3" ht="18.75" customHeight="1" x14ac:dyDescent="0.4">
      <c r="B315" s="25"/>
      <c r="C315" s="23"/>
    </row>
    <row r="316" spans="2:3" ht="18.75" customHeight="1" x14ac:dyDescent="0.4">
      <c r="B316" s="25"/>
      <c r="C316" s="23"/>
    </row>
    <row r="317" spans="2:3" ht="18.75" customHeight="1" x14ac:dyDescent="0.4">
      <c r="B317" s="25"/>
      <c r="C317" s="23"/>
    </row>
    <row r="318" spans="2:3" ht="18.75" customHeight="1" x14ac:dyDescent="0.4">
      <c r="B318" s="25"/>
      <c r="C318" s="23"/>
    </row>
    <row r="319" spans="2:3" ht="18.75" customHeight="1" x14ac:dyDescent="0.4">
      <c r="B319" s="25"/>
      <c r="C319" s="23"/>
    </row>
    <row r="320" spans="2:3" ht="18.75" customHeight="1" x14ac:dyDescent="0.4">
      <c r="B320" s="25"/>
      <c r="C320" s="23"/>
    </row>
    <row r="321" spans="2:3" ht="18.75" customHeight="1" x14ac:dyDescent="0.4">
      <c r="B321" s="25"/>
      <c r="C321" s="23"/>
    </row>
    <row r="322" spans="2:3" ht="18.75" customHeight="1" x14ac:dyDescent="0.4">
      <c r="B322" s="25"/>
      <c r="C322" s="23"/>
    </row>
    <row r="323" spans="2:3" ht="18.75" customHeight="1" x14ac:dyDescent="0.4">
      <c r="B323" s="25"/>
      <c r="C323" s="23"/>
    </row>
    <row r="324" spans="2:3" ht="18.75" customHeight="1" x14ac:dyDescent="0.4">
      <c r="B324" s="25"/>
      <c r="C324" s="23"/>
    </row>
    <row r="325" spans="2:3" ht="18.75" customHeight="1" x14ac:dyDescent="0.4">
      <c r="B325" s="25"/>
      <c r="C325" s="23"/>
    </row>
    <row r="326" spans="2:3" ht="18.75" customHeight="1" x14ac:dyDescent="0.4">
      <c r="B326" s="25"/>
      <c r="C326" s="23"/>
    </row>
    <row r="327" spans="2:3" ht="18.75" customHeight="1" x14ac:dyDescent="0.4">
      <c r="B327" s="25"/>
      <c r="C327" s="23"/>
    </row>
    <row r="328" spans="2:3" ht="18.75" customHeight="1" x14ac:dyDescent="0.4">
      <c r="B328" s="25"/>
      <c r="C328" s="23"/>
    </row>
    <row r="329" spans="2:3" ht="18.75" customHeight="1" x14ac:dyDescent="0.4">
      <c r="B329" s="25"/>
      <c r="C329" s="23"/>
    </row>
    <row r="330" spans="2:3" ht="18.75" customHeight="1" x14ac:dyDescent="0.4">
      <c r="B330" s="25"/>
      <c r="C330" s="23"/>
    </row>
    <row r="331" spans="2:3" ht="18.75" customHeight="1" x14ac:dyDescent="0.4">
      <c r="B331" s="25"/>
      <c r="C331" s="23"/>
    </row>
    <row r="332" spans="2:3" ht="18.75" customHeight="1" x14ac:dyDescent="0.4">
      <c r="B332" s="25"/>
      <c r="C332" s="23"/>
    </row>
    <row r="333" spans="2:3" ht="18.75" customHeight="1" x14ac:dyDescent="0.4">
      <c r="B333" s="25"/>
      <c r="C333" s="23"/>
    </row>
    <row r="334" spans="2:3" ht="18.75" customHeight="1" x14ac:dyDescent="0.4">
      <c r="B334" s="25"/>
      <c r="C334" s="23"/>
    </row>
    <row r="335" spans="2:3" ht="18.75" customHeight="1" x14ac:dyDescent="0.4">
      <c r="B335" s="25"/>
      <c r="C335" s="23"/>
    </row>
    <row r="336" spans="2:3" ht="18.75" customHeight="1" x14ac:dyDescent="0.4">
      <c r="B336" s="25"/>
      <c r="C336" s="23"/>
    </row>
    <row r="337" spans="2:3" ht="18.75" customHeight="1" x14ac:dyDescent="0.4">
      <c r="B337" s="25"/>
      <c r="C337" s="23"/>
    </row>
    <row r="338" spans="2:3" ht="18.75" customHeight="1" x14ac:dyDescent="0.4">
      <c r="B338" s="25"/>
      <c r="C338" s="23"/>
    </row>
    <row r="339" spans="2:3" ht="18.75" customHeight="1" x14ac:dyDescent="0.4">
      <c r="B339" s="25"/>
      <c r="C339" s="23"/>
    </row>
    <row r="340" spans="2:3" ht="18.75" customHeight="1" x14ac:dyDescent="0.4">
      <c r="B340" s="25"/>
      <c r="C340" s="23"/>
    </row>
    <row r="341" spans="2:3" ht="18.75" customHeight="1" x14ac:dyDescent="0.4">
      <c r="B341" s="25"/>
      <c r="C341" s="23"/>
    </row>
    <row r="342" spans="2:3" ht="18.75" customHeight="1" x14ac:dyDescent="0.4">
      <c r="B342" s="25"/>
      <c r="C342" s="23"/>
    </row>
    <row r="343" spans="2:3" ht="18.75" customHeight="1" x14ac:dyDescent="0.4">
      <c r="B343" s="25"/>
      <c r="C343" s="23"/>
    </row>
    <row r="344" spans="2:3" ht="18.75" customHeight="1" x14ac:dyDescent="0.4">
      <c r="B344" s="25"/>
      <c r="C344" s="23"/>
    </row>
    <row r="345" spans="2:3" ht="18.75" customHeight="1" x14ac:dyDescent="0.4">
      <c r="B345" s="25"/>
      <c r="C345" s="23"/>
    </row>
    <row r="346" spans="2:3" ht="18.75" customHeight="1" x14ac:dyDescent="0.4">
      <c r="B346" s="25"/>
      <c r="C346" s="23"/>
    </row>
    <row r="347" spans="2:3" ht="18.75" customHeight="1" x14ac:dyDescent="0.4">
      <c r="B347" s="25"/>
      <c r="C347" s="23"/>
    </row>
    <row r="348" spans="2:3" ht="18.75" customHeight="1" x14ac:dyDescent="0.4">
      <c r="B348" s="25"/>
      <c r="C348" s="23"/>
    </row>
    <row r="349" spans="2:3" ht="18.75" customHeight="1" x14ac:dyDescent="0.4">
      <c r="B349" s="25"/>
      <c r="C349" s="23"/>
    </row>
    <row r="350" spans="2:3" ht="18.75" customHeight="1" x14ac:dyDescent="0.4">
      <c r="B350" s="25"/>
      <c r="C350" s="23"/>
    </row>
    <row r="351" spans="2:3" ht="18.75" customHeight="1" x14ac:dyDescent="0.4">
      <c r="B351" s="25"/>
      <c r="C351" s="23"/>
    </row>
    <row r="352" spans="2:3" ht="18.75" customHeight="1" x14ac:dyDescent="0.4">
      <c r="B352" s="25"/>
      <c r="C352" s="23"/>
    </row>
    <row r="353" spans="2:3" ht="18.75" customHeight="1" x14ac:dyDescent="0.4">
      <c r="B353" s="25"/>
      <c r="C353" s="23"/>
    </row>
    <row r="354" spans="2:3" ht="18.75" customHeight="1" x14ac:dyDescent="0.4">
      <c r="B354" s="25"/>
      <c r="C354" s="23"/>
    </row>
    <row r="355" spans="2:3" ht="18.75" customHeight="1" x14ac:dyDescent="0.4">
      <c r="B355" s="25"/>
      <c r="C355" s="23"/>
    </row>
    <row r="356" spans="2:3" ht="18.75" customHeight="1" x14ac:dyDescent="0.4">
      <c r="B356" s="25"/>
      <c r="C356" s="23"/>
    </row>
    <row r="357" spans="2:3" ht="18.75" customHeight="1" x14ac:dyDescent="0.4">
      <c r="B357" s="25"/>
      <c r="C357" s="23"/>
    </row>
    <row r="358" spans="2:3" ht="18.75" customHeight="1" x14ac:dyDescent="0.4">
      <c r="B358" s="25"/>
      <c r="C358" s="23"/>
    </row>
    <row r="359" spans="2:3" ht="18.75" customHeight="1" x14ac:dyDescent="0.4">
      <c r="B359" s="25"/>
      <c r="C359" s="23"/>
    </row>
    <row r="360" spans="2:3" ht="18.75" customHeight="1" x14ac:dyDescent="0.4">
      <c r="B360" s="25"/>
      <c r="C360" s="23"/>
    </row>
    <row r="361" spans="2:3" ht="18.75" customHeight="1" x14ac:dyDescent="0.4">
      <c r="B361" s="25"/>
      <c r="C361" s="23"/>
    </row>
    <row r="362" spans="2:3" ht="18.75" customHeight="1" x14ac:dyDescent="0.4">
      <c r="B362" s="25"/>
      <c r="C362" s="23"/>
    </row>
    <row r="363" spans="2:3" ht="18.75" customHeight="1" x14ac:dyDescent="0.4">
      <c r="B363" s="25"/>
      <c r="C363" s="23"/>
    </row>
    <row r="364" spans="2:3" ht="18.75" customHeight="1" x14ac:dyDescent="0.4">
      <c r="B364" s="25"/>
      <c r="C364" s="23"/>
    </row>
    <row r="365" spans="2:3" ht="18.75" customHeight="1" x14ac:dyDescent="0.4">
      <c r="B365" s="25"/>
      <c r="C365" s="23"/>
    </row>
    <row r="366" spans="2:3" ht="18.75" customHeight="1" x14ac:dyDescent="0.4">
      <c r="B366" s="25"/>
      <c r="C366" s="23"/>
    </row>
    <row r="367" spans="2:3" ht="18.75" customHeight="1" x14ac:dyDescent="0.4">
      <c r="B367" s="25"/>
      <c r="C367" s="23"/>
    </row>
    <row r="368" spans="2:3" ht="18.75" customHeight="1" x14ac:dyDescent="0.4">
      <c r="B368" s="25"/>
      <c r="C368" s="23"/>
    </row>
    <row r="369" spans="2:3" ht="18.75" customHeight="1" x14ac:dyDescent="0.4">
      <c r="B369" s="25"/>
      <c r="C369" s="23"/>
    </row>
    <row r="370" spans="2:3" ht="18.75" customHeight="1" x14ac:dyDescent="0.4">
      <c r="B370" s="25"/>
      <c r="C370" s="23"/>
    </row>
    <row r="371" spans="2:3" ht="18.75" customHeight="1" x14ac:dyDescent="0.4">
      <c r="B371" s="25"/>
      <c r="C371" s="23"/>
    </row>
    <row r="372" spans="2:3" ht="18.75" customHeight="1" x14ac:dyDescent="0.4">
      <c r="B372" s="25"/>
      <c r="C372" s="23"/>
    </row>
    <row r="373" spans="2:3" ht="18.75" customHeight="1" x14ac:dyDescent="0.4">
      <c r="B373" s="25"/>
      <c r="C373" s="23"/>
    </row>
    <row r="374" spans="2:3" ht="18.75" customHeight="1" x14ac:dyDescent="0.4">
      <c r="B374" s="25"/>
      <c r="C374" s="23"/>
    </row>
    <row r="375" spans="2:3" ht="18.75" customHeight="1" x14ac:dyDescent="0.4">
      <c r="B375" s="25"/>
      <c r="C375" s="23"/>
    </row>
    <row r="376" spans="2:3" ht="18.75" customHeight="1" x14ac:dyDescent="0.4">
      <c r="B376" s="25"/>
      <c r="C376" s="23"/>
    </row>
    <row r="377" spans="2:3" ht="18.75" customHeight="1" x14ac:dyDescent="0.4">
      <c r="B377" s="25"/>
      <c r="C377" s="23"/>
    </row>
    <row r="378" spans="2:3" ht="18.75" customHeight="1" x14ac:dyDescent="0.4">
      <c r="B378" s="25"/>
      <c r="C378" s="23"/>
    </row>
    <row r="379" spans="2:3" ht="18.75" customHeight="1" x14ac:dyDescent="0.4">
      <c r="B379" s="25"/>
      <c r="C379" s="23"/>
    </row>
    <row r="380" spans="2:3" ht="18.75" customHeight="1" x14ac:dyDescent="0.4">
      <c r="B380" s="25"/>
      <c r="C380" s="23"/>
    </row>
    <row r="381" spans="2:3" ht="18.75" customHeight="1" x14ac:dyDescent="0.4">
      <c r="B381" s="25"/>
      <c r="C381" s="23"/>
    </row>
    <row r="382" spans="2:3" ht="18.75" customHeight="1" x14ac:dyDescent="0.4">
      <c r="B382" s="25"/>
      <c r="C382" s="23"/>
    </row>
    <row r="383" spans="2:3" ht="18.75" customHeight="1" x14ac:dyDescent="0.4">
      <c r="B383" s="25"/>
      <c r="C383" s="23"/>
    </row>
    <row r="384" spans="2:3" ht="18.75" customHeight="1" x14ac:dyDescent="0.4">
      <c r="B384" s="25"/>
      <c r="C384" s="23"/>
    </row>
    <row r="385" spans="2:3" ht="18.75" customHeight="1" x14ac:dyDescent="0.4">
      <c r="B385" s="25"/>
      <c r="C385" s="23"/>
    </row>
    <row r="386" spans="2:3" ht="18.75" customHeight="1" x14ac:dyDescent="0.4">
      <c r="B386" s="25"/>
      <c r="C386" s="23"/>
    </row>
    <row r="387" spans="2:3" ht="18.75" customHeight="1" x14ac:dyDescent="0.4">
      <c r="B387" s="25"/>
      <c r="C387" s="23"/>
    </row>
    <row r="388" spans="2:3" ht="18.75" customHeight="1" x14ac:dyDescent="0.4">
      <c r="B388" s="25"/>
      <c r="C388" s="23"/>
    </row>
    <row r="389" spans="2:3" ht="18.75" customHeight="1" x14ac:dyDescent="0.4">
      <c r="B389" s="25"/>
      <c r="C389" s="23"/>
    </row>
    <row r="390" spans="2:3" ht="18.75" customHeight="1" x14ac:dyDescent="0.4">
      <c r="B390" s="25"/>
      <c r="C390" s="23"/>
    </row>
    <row r="391" spans="2:3" ht="18.75" customHeight="1" x14ac:dyDescent="0.4">
      <c r="B391" s="25"/>
      <c r="C391" s="23"/>
    </row>
    <row r="392" spans="2:3" ht="18.75" customHeight="1" x14ac:dyDescent="0.4">
      <c r="B392" s="25"/>
      <c r="C392" s="23"/>
    </row>
    <row r="393" spans="2:3" ht="18.75" customHeight="1" x14ac:dyDescent="0.4">
      <c r="B393" s="25"/>
      <c r="C393" s="23"/>
    </row>
    <row r="394" spans="2:3" ht="18.75" customHeight="1" x14ac:dyDescent="0.4">
      <c r="B394" s="25"/>
      <c r="C394" s="23"/>
    </row>
    <row r="395" spans="2:3" ht="18.75" customHeight="1" x14ac:dyDescent="0.4">
      <c r="B395" s="25"/>
      <c r="C395" s="23"/>
    </row>
    <row r="396" spans="2:3" ht="18.75" customHeight="1" x14ac:dyDescent="0.4">
      <c r="B396" s="25"/>
      <c r="C396" s="23"/>
    </row>
    <row r="397" spans="2:3" ht="18.75" customHeight="1" x14ac:dyDescent="0.4">
      <c r="B397" s="25"/>
      <c r="C397" s="23"/>
    </row>
    <row r="398" spans="2:3" ht="18.75" customHeight="1" x14ac:dyDescent="0.4">
      <c r="B398" s="25"/>
      <c r="C398" s="23"/>
    </row>
    <row r="399" spans="2:3" ht="18.75" customHeight="1" x14ac:dyDescent="0.4">
      <c r="B399" s="25"/>
      <c r="C399" s="23"/>
    </row>
    <row r="400" spans="2:3" ht="18.75" customHeight="1" x14ac:dyDescent="0.4">
      <c r="B400" s="25"/>
      <c r="C400" s="23"/>
    </row>
    <row r="401" spans="2:3" ht="18.75" customHeight="1" x14ac:dyDescent="0.4">
      <c r="B401" s="25"/>
      <c r="C401" s="23"/>
    </row>
    <row r="402" spans="2:3" ht="18.75" customHeight="1" x14ac:dyDescent="0.4">
      <c r="B402" s="25"/>
      <c r="C402" s="23"/>
    </row>
    <row r="403" spans="2:3" ht="18.75" customHeight="1" x14ac:dyDescent="0.4">
      <c r="B403" s="25"/>
      <c r="C403" s="23"/>
    </row>
    <row r="404" spans="2:3" ht="18.75" customHeight="1" x14ac:dyDescent="0.4">
      <c r="B404" s="25"/>
      <c r="C404" s="23"/>
    </row>
    <row r="405" spans="2:3" ht="18.75" customHeight="1" x14ac:dyDescent="0.4">
      <c r="B405" s="25"/>
      <c r="C405" s="23"/>
    </row>
    <row r="406" spans="2:3" ht="18.75" customHeight="1" x14ac:dyDescent="0.4">
      <c r="B406" s="25"/>
      <c r="C406" s="23"/>
    </row>
    <row r="407" spans="2:3" ht="18.75" customHeight="1" x14ac:dyDescent="0.4">
      <c r="B407" s="25"/>
      <c r="C407" s="23"/>
    </row>
    <row r="408" spans="2:3" ht="18.75" customHeight="1" x14ac:dyDescent="0.4">
      <c r="B408" s="25"/>
      <c r="C408" s="23"/>
    </row>
    <row r="409" spans="2:3" ht="18.75" customHeight="1" x14ac:dyDescent="0.4">
      <c r="B409" s="25"/>
      <c r="C409" s="23"/>
    </row>
    <row r="410" spans="2:3" ht="18.75" customHeight="1" x14ac:dyDescent="0.4">
      <c r="B410" s="25"/>
      <c r="C410" s="23"/>
    </row>
    <row r="411" spans="2:3" ht="18.75" customHeight="1" x14ac:dyDescent="0.4">
      <c r="B411" s="25"/>
      <c r="C411" s="23"/>
    </row>
    <row r="412" spans="2:3" ht="18.75" customHeight="1" x14ac:dyDescent="0.4">
      <c r="B412" s="25"/>
      <c r="C412" s="23"/>
    </row>
    <row r="413" spans="2:3" ht="18.75" customHeight="1" x14ac:dyDescent="0.4">
      <c r="B413" s="25"/>
      <c r="C413" s="23"/>
    </row>
    <row r="414" spans="2:3" ht="18.75" customHeight="1" x14ac:dyDescent="0.4">
      <c r="B414" s="25"/>
      <c r="C414" s="23"/>
    </row>
    <row r="415" spans="2:3" ht="18.75" customHeight="1" x14ac:dyDescent="0.4">
      <c r="B415" s="25"/>
      <c r="C415" s="23"/>
    </row>
    <row r="416" spans="2:3" ht="18.75" customHeight="1" x14ac:dyDescent="0.4">
      <c r="B416" s="25"/>
      <c r="C416" s="23"/>
    </row>
    <row r="417" spans="2:3" ht="18.75" customHeight="1" x14ac:dyDescent="0.4">
      <c r="B417" s="25"/>
      <c r="C417" s="23"/>
    </row>
    <row r="418" spans="2:3" ht="18.75" customHeight="1" x14ac:dyDescent="0.4">
      <c r="B418" s="25"/>
      <c r="C418" s="23"/>
    </row>
    <row r="419" spans="2:3" ht="18.75" customHeight="1" x14ac:dyDescent="0.4">
      <c r="B419" s="25"/>
      <c r="C419" s="23"/>
    </row>
    <row r="420" spans="2:3" ht="18.75" customHeight="1" x14ac:dyDescent="0.4">
      <c r="B420" s="25"/>
      <c r="C420" s="23"/>
    </row>
    <row r="421" spans="2:3" ht="18.75" customHeight="1" x14ac:dyDescent="0.4">
      <c r="B421" s="25"/>
      <c r="C421" s="23"/>
    </row>
    <row r="422" spans="2:3" ht="18.75" customHeight="1" x14ac:dyDescent="0.4">
      <c r="B422" s="25"/>
      <c r="C422" s="23"/>
    </row>
    <row r="423" spans="2:3" ht="18.75" customHeight="1" x14ac:dyDescent="0.4">
      <c r="B423" s="25"/>
      <c r="C423" s="23"/>
    </row>
    <row r="424" spans="2:3" ht="18.75" customHeight="1" x14ac:dyDescent="0.4">
      <c r="B424" s="25"/>
      <c r="C424" s="23"/>
    </row>
    <row r="425" spans="2:3" ht="18.75" customHeight="1" x14ac:dyDescent="0.4">
      <c r="B425" s="25"/>
      <c r="C425" s="23"/>
    </row>
    <row r="426" spans="2:3" ht="18.75" customHeight="1" x14ac:dyDescent="0.4">
      <c r="B426" s="25"/>
      <c r="C426" s="23"/>
    </row>
    <row r="427" spans="2:3" ht="18.75" customHeight="1" x14ac:dyDescent="0.4">
      <c r="B427" s="25"/>
      <c r="C427" s="23"/>
    </row>
    <row r="428" spans="2:3" ht="18.75" customHeight="1" x14ac:dyDescent="0.4">
      <c r="B428" s="25"/>
      <c r="C428" s="23"/>
    </row>
    <row r="429" spans="2:3" ht="18.75" customHeight="1" x14ac:dyDescent="0.4">
      <c r="B429" s="25"/>
      <c r="C429" s="23"/>
    </row>
    <row r="430" spans="2:3" ht="18.75" customHeight="1" x14ac:dyDescent="0.4">
      <c r="B430" s="25"/>
      <c r="C430" s="23"/>
    </row>
    <row r="431" spans="2:3" ht="18.75" customHeight="1" x14ac:dyDescent="0.4">
      <c r="B431" s="25"/>
      <c r="C431" s="23"/>
    </row>
    <row r="432" spans="2:3" ht="18.75" customHeight="1" x14ac:dyDescent="0.4">
      <c r="B432" s="25"/>
      <c r="C432" s="23"/>
    </row>
    <row r="433" spans="2:3" ht="18.75" customHeight="1" x14ac:dyDescent="0.4">
      <c r="B433" s="25"/>
      <c r="C433" s="23"/>
    </row>
    <row r="434" spans="2:3" ht="18.75" customHeight="1" x14ac:dyDescent="0.4">
      <c r="B434" s="25"/>
      <c r="C434" s="23"/>
    </row>
    <row r="435" spans="2:3" ht="18.75" customHeight="1" x14ac:dyDescent="0.4">
      <c r="B435" s="25"/>
      <c r="C435" s="23"/>
    </row>
    <row r="436" spans="2:3" ht="18.75" customHeight="1" x14ac:dyDescent="0.4">
      <c r="B436" s="25"/>
      <c r="C436" s="23"/>
    </row>
    <row r="437" spans="2:3" ht="18.75" customHeight="1" x14ac:dyDescent="0.4">
      <c r="B437" s="25"/>
      <c r="C437" s="23"/>
    </row>
    <row r="438" spans="2:3" ht="18.75" customHeight="1" x14ac:dyDescent="0.4">
      <c r="B438" s="25"/>
      <c r="C438" s="23"/>
    </row>
    <row r="439" spans="2:3" ht="18.75" customHeight="1" x14ac:dyDescent="0.4">
      <c r="B439" s="25"/>
      <c r="C439" s="23"/>
    </row>
    <row r="440" spans="2:3" ht="18.75" customHeight="1" x14ac:dyDescent="0.4">
      <c r="B440" s="25"/>
      <c r="C440" s="23"/>
    </row>
    <row r="441" spans="2:3" ht="18.75" customHeight="1" x14ac:dyDescent="0.4">
      <c r="B441" s="25"/>
      <c r="C441" s="23"/>
    </row>
    <row r="442" spans="2:3" ht="18.75" customHeight="1" x14ac:dyDescent="0.4">
      <c r="B442" s="25"/>
      <c r="C442" s="23"/>
    </row>
    <row r="443" spans="2:3" ht="18.75" customHeight="1" x14ac:dyDescent="0.4">
      <c r="B443" s="25"/>
      <c r="C443" s="23"/>
    </row>
    <row r="444" spans="2:3" ht="18.75" customHeight="1" x14ac:dyDescent="0.4">
      <c r="B444" s="25"/>
      <c r="C444" s="23"/>
    </row>
    <row r="445" spans="2:3" ht="18.75" customHeight="1" x14ac:dyDescent="0.4">
      <c r="B445" s="25"/>
      <c r="C445" s="23"/>
    </row>
    <row r="446" spans="2:3" ht="18.75" customHeight="1" x14ac:dyDescent="0.4">
      <c r="B446" s="25"/>
      <c r="C446" s="23"/>
    </row>
    <row r="447" spans="2:3" ht="18.75" customHeight="1" x14ac:dyDescent="0.4">
      <c r="B447" s="25"/>
      <c r="C447" s="23"/>
    </row>
    <row r="448" spans="2:3" ht="18.75" customHeight="1" x14ac:dyDescent="0.4">
      <c r="B448" s="25"/>
      <c r="C448" s="23"/>
    </row>
    <row r="449" spans="2:3" ht="18.75" customHeight="1" x14ac:dyDescent="0.4">
      <c r="B449" s="25"/>
      <c r="C449" s="23"/>
    </row>
    <row r="450" spans="2:3" ht="18.75" customHeight="1" x14ac:dyDescent="0.4">
      <c r="B450" s="25"/>
      <c r="C450" s="23"/>
    </row>
    <row r="451" spans="2:3" ht="18.75" customHeight="1" x14ac:dyDescent="0.4">
      <c r="B451" s="25"/>
      <c r="C451" s="23"/>
    </row>
    <row r="452" spans="2:3" ht="18.75" customHeight="1" x14ac:dyDescent="0.4">
      <c r="B452" s="25"/>
      <c r="C452" s="23"/>
    </row>
    <row r="453" spans="2:3" ht="18.75" customHeight="1" x14ac:dyDescent="0.4">
      <c r="B453" s="25"/>
      <c r="C453" s="23"/>
    </row>
    <row r="454" spans="2:3" ht="18.75" customHeight="1" x14ac:dyDescent="0.4">
      <c r="B454" s="25"/>
      <c r="C454" s="23"/>
    </row>
    <row r="455" spans="2:3" ht="18.75" customHeight="1" x14ac:dyDescent="0.4">
      <c r="B455" s="25"/>
      <c r="C455" s="23"/>
    </row>
    <row r="456" spans="2:3" ht="18.75" customHeight="1" x14ac:dyDescent="0.4">
      <c r="B456" s="25"/>
      <c r="C456" s="23"/>
    </row>
    <row r="457" spans="2:3" ht="18.75" customHeight="1" x14ac:dyDescent="0.4">
      <c r="B457" s="25"/>
      <c r="C457" s="23"/>
    </row>
    <row r="458" spans="2:3" ht="18.75" customHeight="1" x14ac:dyDescent="0.4">
      <c r="B458" s="25"/>
      <c r="C458" s="23"/>
    </row>
    <row r="459" spans="2:3" ht="18.75" customHeight="1" x14ac:dyDescent="0.4">
      <c r="B459" s="25"/>
      <c r="C459" s="23"/>
    </row>
    <row r="460" spans="2:3" ht="18.75" customHeight="1" x14ac:dyDescent="0.4">
      <c r="B460" s="25"/>
      <c r="C460" s="23"/>
    </row>
    <row r="461" spans="2:3" ht="18.75" customHeight="1" x14ac:dyDescent="0.4">
      <c r="B461" s="25"/>
      <c r="C461" s="23"/>
    </row>
    <row r="462" spans="2:3" ht="18.75" customHeight="1" x14ac:dyDescent="0.4">
      <c r="B462" s="25"/>
      <c r="C462" s="23"/>
    </row>
    <row r="463" spans="2:3" ht="18.75" customHeight="1" x14ac:dyDescent="0.4">
      <c r="B463" s="25"/>
      <c r="C463" s="23"/>
    </row>
    <row r="464" spans="2:3" ht="18.75" customHeight="1" x14ac:dyDescent="0.4">
      <c r="B464" s="25"/>
      <c r="C464" s="23"/>
    </row>
    <row r="465" spans="2:3" ht="18.75" customHeight="1" x14ac:dyDescent="0.4">
      <c r="B465" s="25"/>
      <c r="C465" s="23"/>
    </row>
    <row r="466" spans="2:3" ht="18.75" customHeight="1" x14ac:dyDescent="0.4">
      <c r="B466" s="25"/>
      <c r="C466" s="23"/>
    </row>
    <row r="467" spans="2:3" ht="18.75" customHeight="1" x14ac:dyDescent="0.4">
      <c r="B467" s="25"/>
      <c r="C467" s="23"/>
    </row>
    <row r="468" spans="2:3" ht="18.75" customHeight="1" x14ac:dyDescent="0.4">
      <c r="B468" s="25"/>
      <c r="C468" s="23"/>
    </row>
    <row r="469" spans="2:3" ht="18.75" customHeight="1" x14ac:dyDescent="0.4">
      <c r="B469" s="25"/>
      <c r="C469" s="23"/>
    </row>
    <row r="470" spans="2:3" ht="18.75" customHeight="1" x14ac:dyDescent="0.4">
      <c r="B470" s="25"/>
      <c r="C470" s="23"/>
    </row>
    <row r="471" spans="2:3" ht="18.75" customHeight="1" x14ac:dyDescent="0.4">
      <c r="B471" s="25"/>
      <c r="C471" s="23"/>
    </row>
    <row r="472" spans="2:3" ht="18.75" customHeight="1" x14ac:dyDescent="0.4">
      <c r="B472" s="25"/>
      <c r="C472" s="23"/>
    </row>
    <row r="473" spans="2:3" ht="18.75" customHeight="1" x14ac:dyDescent="0.4">
      <c r="B473" s="25"/>
      <c r="C473" s="23"/>
    </row>
    <row r="474" spans="2:3" ht="18.75" customHeight="1" x14ac:dyDescent="0.4">
      <c r="B474" s="25"/>
      <c r="C474" s="23"/>
    </row>
    <row r="475" spans="2:3" ht="18.75" customHeight="1" x14ac:dyDescent="0.4">
      <c r="B475" s="25"/>
      <c r="C475" s="23"/>
    </row>
    <row r="476" spans="2:3" ht="18.75" customHeight="1" x14ac:dyDescent="0.4">
      <c r="B476" s="25"/>
      <c r="C476" s="23"/>
    </row>
    <row r="477" spans="2:3" ht="18.75" customHeight="1" x14ac:dyDescent="0.4">
      <c r="B477" s="25"/>
      <c r="C477" s="23"/>
    </row>
    <row r="478" spans="2:3" ht="18.75" customHeight="1" x14ac:dyDescent="0.4">
      <c r="B478" s="25"/>
      <c r="C478" s="23"/>
    </row>
    <row r="479" spans="2:3" ht="18.75" customHeight="1" x14ac:dyDescent="0.4">
      <c r="B479" s="25"/>
      <c r="C479" s="23"/>
    </row>
    <row r="480" spans="2:3" ht="18.75" customHeight="1" x14ac:dyDescent="0.4">
      <c r="B480" s="25"/>
      <c r="C480" s="23"/>
    </row>
    <row r="481" spans="2:3" ht="18.75" customHeight="1" x14ac:dyDescent="0.4">
      <c r="B481" s="25"/>
      <c r="C481" s="23"/>
    </row>
    <row r="482" spans="2:3" ht="18.75" customHeight="1" x14ac:dyDescent="0.4">
      <c r="B482" s="25"/>
      <c r="C482" s="23"/>
    </row>
    <row r="483" spans="2:3" ht="18.75" customHeight="1" x14ac:dyDescent="0.4">
      <c r="B483" s="25"/>
      <c r="C483" s="23"/>
    </row>
    <row r="484" spans="2:3" ht="18.75" customHeight="1" x14ac:dyDescent="0.4">
      <c r="B484" s="25"/>
      <c r="C484" s="23"/>
    </row>
    <row r="485" spans="2:3" ht="18.75" customHeight="1" x14ac:dyDescent="0.4">
      <c r="B485" s="25"/>
      <c r="C485" s="23"/>
    </row>
    <row r="486" spans="2:3" ht="18.75" customHeight="1" x14ac:dyDescent="0.4">
      <c r="B486" s="25"/>
      <c r="C486" s="23"/>
    </row>
    <row r="487" spans="2:3" ht="18.75" customHeight="1" x14ac:dyDescent="0.4">
      <c r="B487" s="25"/>
      <c r="C487" s="23"/>
    </row>
    <row r="488" spans="2:3" ht="18.75" customHeight="1" x14ac:dyDescent="0.4">
      <c r="B488" s="25"/>
      <c r="C488" s="23"/>
    </row>
    <row r="489" spans="2:3" ht="18.75" customHeight="1" x14ac:dyDescent="0.4">
      <c r="B489" s="25"/>
      <c r="C489" s="23"/>
    </row>
    <row r="490" spans="2:3" ht="18.75" customHeight="1" x14ac:dyDescent="0.4">
      <c r="B490" s="25"/>
      <c r="C490" s="23"/>
    </row>
    <row r="491" spans="2:3" ht="18.75" customHeight="1" x14ac:dyDescent="0.4">
      <c r="B491" s="25"/>
      <c r="C491" s="23"/>
    </row>
    <row r="492" spans="2:3" ht="18.75" customHeight="1" x14ac:dyDescent="0.4">
      <c r="B492" s="25"/>
      <c r="C492" s="23"/>
    </row>
    <row r="493" spans="2:3" ht="18.75" customHeight="1" x14ac:dyDescent="0.4">
      <c r="B493" s="25"/>
      <c r="C493" s="23"/>
    </row>
    <row r="494" spans="2:3" ht="18.75" customHeight="1" x14ac:dyDescent="0.4">
      <c r="B494" s="25"/>
      <c r="C494" s="23"/>
    </row>
    <row r="495" spans="2:3" ht="18.75" customHeight="1" x14ac:dyDescent="0.4">
      <c r="B495" s="25"/>
      <c r="C495" s="23"/>
    </row>
    <row r="496" spans="2:3" ht="18.75" customHeight="1" x14ac:dyDescent="0.4">
      <c r="B496" s="25"/>
      <c r="C496" s="23"/>
    </row>
    <row r="497" spans="2:3" ht="18.75" customHeight="1" x14ac:dyDescent="0.4">
      <c r="B497" s="25"/>
      <c r="C497" s="23"/>
    </row>
    <row r="498" spans="2:3" ht="18.75" customHeight="1" x14ac:dyDescent="0.4">
      <c r="B498" s="25"/>
      <c r="C498" s="23"/>
    </row>
    <row r="499" spans="2:3" ht="18.75" customHeight="1" x14ac:dyDescent="0.4">
      <c r="B499" s="25"/>
      <c r="C499" s="23"/>
    </row>
    <row r="500" spans="2:3" ht="18.75" customHeight="1" x14ac:dyDescent="0.4">
      <c r="B500" s="25"/>
      <c r="C500" s="23"/>
    </row>
    <row r="501" spans="2:3" ht="18.75" customHeight="1" x14ac:dyDescent="0.4">
      <c r="B501" s="25"/>
      <c r="C501" s="23"/>
    </row>
    <row r="502" spans="2:3" ht="18.75" customHeight="1" x14ac:dyDescent="0.4">
      <c r="B502" s="25"/>
      <c r="C502" s="23"/>
    </row>
    <row r="503" spans="2:3" ht="18.75" customHeight="1" x14ac:dyDescent="0.4">
      <c r="B503" s="25"/>
      <c r="C503" s="23"/>
    </row>
    <row r="504" spans="2:3" ht="18.75" customHeight="1" x14ac:dyDescent="0.4">
      <c r="B504" s="25"/>
      <c r="C504" s="23"/>
    </row>
    <row r="505" spans="2:3" ht="18.75" customHeight="1" x14ac:dyDescent="0.4">
      <c r="B505" s="25"/>
      <c r="C505" s="23"/>
    </row>
    <row r="506" spans="2:3" ht="18.75" customHeight="1" x14ac:dyDescent="0.4">
      <c r="B506" s="25"/>
      <c r="C506" s="23"/>
    </row>
    <row r="507" spans="2:3" ht="18.75" customHeight="1" x14ac:dyDescent="0.4">
      <c r="B507" s="25"/>
      <c r="C507" s="23"/>
    </row>
    <row r="508" spans="2:3" ht="18.75" customHeight="1" x14ac:dyDescent="0.4">
      <c r="B508" s="25"/>
      <c r="C508" s="23"/>
    </row>
    <row r="509" spans="2:3" ht="18.75" customHeight="1" x14ac:dyDescent="0.4">
      <c r="B509" s="25"/>
      <c r="C509" s="23"/>
    </row>
    <row r="510" spans="2:3" ht="18.75" customHeight="1" x14ac:dyDescent="0.4">
      <c r="B510" s="25"/>
      <c r="C510" s="23"/>
    </row>
    <row r="511" spans="2:3" ht="18.75" customHeight="1" x14ac:dyDescent="0.4">
      <c r="B511" s="25"/>
      <c r="C511" s="23"/>
    </row>
    <row r="512" spans="2:3" ht="18.75" customHeight="1" x14ac:dyDescent="0.4">
      <c r="B512" s="25"/>
      <c r="C512" s="23"/>
    </row>
    <row r="513" spans="2:3" ht="18.75" customHeight="1" x14ac:dyDescent="0.4">
      <c r="B513" s="25"/>
      <c r="C513" s="23"/>
    </row>
    <row r="514" spans="2:3" ht="18.75" customHeight="1" x14ac:dyDescent="0.4">
      <c r="B514" s="25"/>
      <c r="C514" s="23"/>
    </row>
    <row r="515" spans="2:3" ht="18.75" customHeight="1" x14ac:dyDescent="0.4">
      <c r="B515" s="25"/>
      <c r="C515" s="23"/>
    </row>
    <row r="516" spans="2:3" ht="18.75" customHeight="1" x14ac:dyDescent="0.4">
      <c r="B516" s="25"/>
      <c r="C516" s="23"/>
    </row>
    <row r="517" spans="2:3" ht="18.75" customHeight="1" x14ac:dyDescent="0.4">
      <c r="B517" s="25"/>
      <c r="C517" s="23"/>
    </row>
    <row r="518" spans="2:3" ht="18.75" customHeight="1" x14ac:dyDescent="0.4">
      <c r="B518" s="25"/>
      <c r="C518" s="23"/>
    </row>
    <row r="519" spans="2:3" ht="18.75" customHeight="1" x14ac:dyDescent="0.4">
      <c r="B519" s="25"/>
      <c r="C519" s="23"/>
    </row>
    <row r="520" spans="2:3" ht="18.75" customHeight="1" x14ac:dyDescent="0.4">
      <c r="B520" s="25"/>
      <c r="C520" s="23"/>
    </row>
    <row r="521" spans="2:3" ht="18.75" customHeight="1" x14ac:dyDescent="0.4">
      <c r="B521" s="25"/>
      <c r="C521" s="23"/>
    </row>
    <row r="522" spans="2:3" ht="18.75" customHeight="1" x14ac:dyDescent="0.4">
      <c r="B522" s="25"/>
      <c r="C522" s="23"/>
    </row>
    <row r="523" spans="2:3" ht="18.75" customHeight="1" x14ac:dyDescent="0.4">
      <c r="B523" s="25"/>
      <c r="C523" s="23"/>
    </row>
    <row r="524" spans="2:3" ht="18.75" customHeight="1" x14ac:dyDescent="0.4">
      <c r="B524" s="25"/>
      <c r="C524" s="23"/>
    </row>
    <row r="525" spans="2:3" ht="18.75" customHeight="1" x14ac:dyDescent="0.4">
      <c r="B525" s="25"/>
      <c r="C525" s="23"/>
    </row>
    <row r="526" spans="2:3" ht="18.75" customHeight="1" x14ac:dyDescent="0.4">
      <c r="B526" s="25"/>
      <c r="C526" s="23"/>
    </row>
    <row r="527" spans="2:3" ht="18.75" customHeight="1" x14ac:dyDescent="0.4">
      <c r="B527" s="25"/>
      <c r="C527" s="23"/>
    </row>
    <row r="528" spans="2:3" ht="18.75" customHeight="1" x14ac:dyDescent="0.4">
      <c r="B528" s="25"/>
      <c r="C528" s="23"/>
    </row>
    <row r="529" spans="2:3" ht="18.75" customHeight="1" x14ac:dyDescent="0.4">
      <c r="B529" s="25"/>
      <c r="C529" s="23"/>
    </row>
    <row r="530" spans="2:3" ht="18.75" customHeight="1" x14ac:dyDescent="0.4">
      <c r="B530" s="25"/>
      <c r="C530" s="23"/>
    </row>
    <row r="531" spans="2:3" ht="18.75" customHeight="1" x14ac:dyDescent="0.4">
      <c r="B531" s="25"/>
      <c r="C531" s="23"/>
    </row>
    <row r="532" spans="2:3" ht="18.75" customHeight="1" x14ac:dyDescent="0.4">
      <c r="B532" s="25"/>
      <c r="C532" s="23"/>
    </row>
    <row r="533" spans="2:3" ht="18.75" customHeight="1" x14ac:dyDescent="0.4">
      <c r="B533" s="25"/>
      <c r="C533" s="23"/>
    </row>
    <row r="534" spans="2:3" ht="18.75" customHeight="1" x14ac:dyDescent="0.4">
      <c r="B534" s="25"/>
      <c r="C534" s="23"/>
    </row>
    <row r="535" spans="2:3" ht="18.75" customHeight="1" x14ac:dyDescent="0.4">
      <c r="B535" s="25"/>
      <c r="C535" s="23"/>
    </row>
    <row r="536" spans="2:3" ht="18.75" customHeight="1" x14ac:dyDescent="0.4">
      <c r="B536" s="25"/>
      <c r="C536" s="23"/>
    </row>
    <row r="537" spans="2:3" ht="18.75" customHeight="1" x14ac:dyDescent="0.4">
      <c r="B537" s="25"/>
      <c r="C537" s="23"/>
    </row>
    <row r="538" spans="2:3" ht="18.75" customHeight="1" x14ac:dyDescent="0.4">
      <c r="B538" s="25"/>
      <c r="C538" s="23"/>
    </row>
    <row r="539" spans="2:3" ht="18.75" customHeight="1" x14ac:dyDescent="0.4">
      <c r="B539" s="25"/>
      <c r="C539" s="23"/>
    </row>
    <row r="540" spans="2:3" ht="18.75" customHeight="1" x14ac:dyDescent="0.4">
      <c r="B540" s="25"/>
      <c r="C540" s="23"/>
    </row>
    <row r="541" spans="2:3" ht="18.75" customHeight="1" x14ac:dyDescent="0.4">
      <c r="B541" s="25"/>
      <c r="C541" s="23"/>
    </row>
    <row r="542" spans="2:3" ht="18.75" customHeight="1" x14ac:dyDescent="0.4">
      <c r="B542" s="25"/>
      <c r="C542" s="23"/>
    </row>
    <row r="543" spans="2:3" ht="18.75" customHeight="1" x14ac:dyDescent="0.4">
      <c r="B543" s="25"/>
      <c r="C543" s="23"/>
    </row>
    <row r="544" spans="2:3" ht="18.75" customHeight="1" x14ac:dyDescent="0.4">
      <c r="B544" s="25"/>
      <c r="C544" s="23"/>
    </row>
    <row r="545" spans="2:3" ht="18.75" customHeight="1" x14ac:dyDescent="0.4">
      <c r="B545" s="25"/>
      <c r="C545" s="23"/>
    </row>
    <row r="546" spans="2:3" ht="18.75" customHeight="1" x14ac:dyDescent="0.4">
      <c r="B546" s="25"/>
      <c r="C546" s="23"/>
    </row>
    <row r="547" spans="2:3" ht="18.75" customHeight="1" x14ac:dyDescent="0.4">
      <c r="B547" s="25"/>
      <c r="C547" s="23"/>
    </row>
    <row r="548" spans="2:3" ht="18.75" customHeight="1" x14ac:dyDescent="0.4">
      <c r="B548" s="25"/>
      <c r="C548" s="23"/>
    </row>
    <row r="549" spans="2:3" ht="18.75" customHeight="1" x14ac:dyDescent="0.4">
      <c r="B549" s="25"/>
      <c r="C549" s="23"/>
    </row>
    <row r="550" spans="2:3" ht="18.75" customHeight="1" x14ac:dyDescent="0.4">
      <c r="B550" s="25"/>
      <c r="C550" s="23"/>
    </row>
    <row r="551" spans="2:3" ht="18.75" customHeight="1" x14ac:dyDescent="0.4">
      <c r="B551" s="25"/>
      <c r="C551" s="23"/>
    </row>
    <row r="552" spans="2:3" ht="18.75" customHeight="1" x14ac:dyDescent="0.4">
      <c r="B552" s="25"/>
      <c r="C552" s="23"/>
    </row>
    <row r="553" spans="2:3" ht="18.75" customHeight="1" x14ac:dyDescent="0.4">
      <c r="B553" s="25"/>
      <c r="C553" s="23"/>
    </row>
    <row r="554" spans="2:3" ht="18.75" customHeight="1" x14ac:dyDescent="0.4">
      <c r="B554" s="25"/>
      <c r="C554" s="23"/>
    </row>
    <row r="555" spans="2:3" ht="18.75" customHeight="1" x14ac:dyDescent="0.4">
      <c r="B555" s="25"/>
      <c r="C555" s="23"/>
    </row>
    <row r="556" spans="2:3" ht="18.75" customHeight="1" x14ac:dyDescent="0.4">
      <c r="B556" s="25"/>
      <c r="C556" s="23"/>
    </row>
    <row r="557" spans="2:3" ht="18.75" customHeight="1" x14ac:dyDescent="0.4">
      <c r="B557" s="25"/>
      <c r="C557" s="23"/>
    </row>
    <row r="558" spans="2:3" ht="18.75" customHeight="1" x14ac:dyDescent="0.4">
      <c r="B558" s="25"/>
      <c r="C558" s="23"/>
    </row>
    <row r="559" spans="2:3" ht="18.75" customHeight="1" x14ac:dyDescent="0.4">
      <c r="B559" s="25"/>
      <c r="C559" s="23"/>
    </row>
    <row r="560" spans="2:3" ht="18.75" customHeight="1" x14ac:dyDescent="0.4">
      <c r="B560" s="25"/>
      <c r="C560" s="23"/>
    </row>
    <row r="561" spans="2:3" ht="18.75" customHeight="1" x14ac:dyDescent="0.4">
      <c r="B561" s="25"/>
      <c r="C561" s="23"/>
    </row>
    <row r="562" spans="2:3" ht="18.75" customHeight="1" x14ac:dyDescent="0.4">
      <c r="B562" s="25"/>
      <c r="C562" s="23"/>
    </row>
    <row r="563" spans="2:3" ht="18.75" customHeight="1" x14ac:dyDescent="0.4">
      <c r="B563" s="25"/>
      <c r="C563" s="23"/>
    </row>
    <row r="564" spans="2:3" ht="18.75" customHeight="1" x14ac:dyDescent="0.4">
      <c r="B564" s="25"/>
      <c r="C564" s="23"/>
    </row>
    <row r="565" spans="2:3" ht="18.75" customHeight="1" x14ac:dyDescent="0.4">
      <c r="B565" s="25"/>
      <c r="C565" s="23"/>
    </row>
    <row r="566" spans="2:3" ht="18.75" customHeight="1" x14ac:dyDescent="0.4">
      <c r="B566" s="25"/>
      <c r="C566" s="23"/>
    </row>
    <row r="567" spans="2:3" ht="18.75" customHeight="1" x14ac:dyDescent="0.4">
      <c r="B567" s="25"/>
      <c r="C567" s="23"/>
    </row>
    <row r="568" spans="2:3" ht="18.75" customHeight="1" x14ac:dyDescent="0.4">
      <c r="B568" s="25"/>
      <c r="C568" s="23"/>
    </row>
    <row r="569" spans="2:3" ht="18.75" customHeight="1" x14ac:dyDescent="0.4">
      <c r="B569" s="25"/>
      <c r="C569" s="23"/>
    </row>
    <row r="570" spans="2:3" ht="18.75" customHeight="1" x14ac:dyDescent="0.4">
      <c r="B570" s="25"/>
      <c r="C570" s="23"/>
    </row>
    <row r="571" spans="2:3" ht="18.75" customHeight="1" x14ac:dyDescent="0.4">
      <c r="B571" s="25"/>
      <c r="C571" s="23"/>
    </row>
    <row r="572" spans="2:3" ht="18.75" customHeight="1" x14ac:dyDescent="0.4">
      <c r="B572" s="25"/>
      <c r="C572" s="23"/>
    </row>
    <row r="573" spans="2:3" ht="18.75" customHeight="1" x14ac:dyDescent="0.4">
      <c r="B573" s="25"/>
      <c r="C573" s="23"/>
    </row>
    <row r="574" spans="2:3" ht="18.75" customHeight="1" x14ac:dyDescent="0.4">
      <c r="B574" s="25"/>
      <c r="C574" s="23"/>
    </row>
    <row r="575" spans="2:3" ht="18.75" customHeight="1" x14ac:dyDescent="0.4">
      <c r="B575" s="25"/>
      <c r="C575" s="23"/>
    </row>
    <row r="576" spans="2:3" ht="18.75" customHeight="1" x14ac:dyDescent="0.4">
      <c r="B576" s="25"/>
      <c r="C576" s="23"/>
    </row>
    <row r="577" spans="2:3" ht="18.75" customHeight="1" x14ac:dyDescent="0.4">
      <c r="B577" s="25"/>
      <c r="C577" s="23"/>
    </row>
    <row r="578" spans="2:3" ht="18.75" customHeight="1" x14ac:dyDescent="0.4">
      <c r="B578" s="25"/>
      <c r="C578" s="23"/>
    </row>
    <row r="579" spans="2:3" ht="18.75" customHeight="1" x14ac:dyDescent="0.4">
      <c r="B579" s="25"/>
      <c r="C579" s="23"/>
    </row>
    <row r="580" spans="2:3" ht="18.75" customHeight="1" x14ac:dyDescent="0.4">
      <c r="B580" s="25"/>
      <c r="C580" s="23"/>
    </row>
    <row r="581" spans="2:3" ht="18.75" customHeight="1" x14ac:dyDescent="0.4">
      <c r="B581" s="25"/>
      <c r="C581" s="23"/>
    </row>
    <row r="582" spans="2:3" ht="18.75" customHeight="1" x14ac:dyDescent="0.4">
      <c r="B582" s="25"/>
      <c r="C582" s="23"/>
    </row>
    <row r="583" spans="2:3" ht="18.75" customHeight="1" x14ac:dyDescent="0.4">
      <c r="B583" s="25"/>
      <c r="C583" s="23"/>
    </row>
    <row r="584" spans="2:3" ht="18.75" customHeight="1" x14ac:dyDescent="0.4">
      <c r="B584" s="25"/>
      <c r="C584" s="23"/>
    </row>
    <row r="585" spans="2:3" ht="18.75" customHeight="1" x14ac:dyDescent="0.4">
      <c r="B585" s="25"/>
      <c r="C585" s="23"/>
    </row>
    <row r="586" spans="2:3" ht="18.75" customHeight="1" x14ac:dyDescent="0.4">
      <c r="B586" s="25"/>
      <c r="C586" s="23"/>
    </row>
    <row r="587" spans="2:3" ht="18.75" customHeight="1" x14ac:dyDescent="0.4">
      <c r="B587" s="25"/>
      <c r="C587" s="23"/>
    </row>
    <row r="588" spans="2:3" ht="18.75" customHeight="1" x14ac:dyDescent="0.4">
      <c r="B588" s="25"/>
      <c r="C588" s="23"/>
    </row>
    <row r="589" spans="2:3" ht="18.75" customHeight="1" x14ac:dyDescent="0.4">
      <c r="B589" s="25"/>
      <c r="C589" s="23"/>
    </row>
    <row r="590" spans="2:3" ht="18.75" customHeight="1" x14ac:dyDescent="0.4">
      <c r="B590" s="25"/>
      <c r="C590" s="23"/>
    </row>
    <row r="591" spans="2:3" ht="18.75" customHeight="1" x14ac:dyDescent="0.4">
      <c r="B591" s="25"/>
      <c r="C591" s="23"/>
    </row>
    <row r="592" spans="2:3" ht="18.75" customHeight="1" x14ac:dyDescent="0.4">
      <c r="B592" s="25"/>
      <c r="C592" s="23"/>
    </row>
    <row r="593" spans="2:3" ht="18.75" customHeight="1" x14ac:dyDescent="0.4">
      <c r="B593" s="25"/>
      <c r="C593" s="23"/>
    </row>
    <row r="594" spans="2:3" ht="18.75" customHeight="1" x14ac:dyDescent="0.4">
      <c r="B594" s="25"/>
      <c r="C594" s="23"/>
    </row>
    <row r="595" spans="2:3" ht="18.75" customHeight="1" x14ac:dyDescent="0.4">
      <c r="B595" s="25"/>
      <c r="C595" s="23"/>
    </row>
    <row r="596" spans="2:3" ht="18.75" customHeight="1" x14ac:dyDescent="0.4">
      <c r="B596" s="25"/>
      <c r="C596" s="23"/>
    </row>
    <row r="597" spans="2:3" ht="18.75" customHeight="1" x14ac:dyDescent="0.4">
      <c r="B597" s="25"/>
      <c r="C597" s="23"/>
    </row>
    <row r="598" spans="2:3" ht="18.75" customHeight="1" x14ac:dyDescent="0.4">
      <c r="B598" s="25"/>
      <c r="C598" s="23"/>
    </row>
    <row r="599" spans="2:3" ht="18.75" customHeight="1" x14ac:dyDescent="0.4">
      <c r="B599" s="25"/>
      <c r="C599" s="23"/>
    </row>
    <row r="600" spans="2:3" ht="18.75" customHeight="1" x14ac:dyDescent="0.4">
      <c r="B600" s="25"/>
      <c r="C600" s="23"/>
    </row>
    <row r="601" spans="2:3" ht="18.75" customHeight="1" x14ac:dyDescent="0.4">
      <c r="B601" s="25"/>
      <c r="C601" s="23"/>
    </row>
    <row r="602" spans="2:3" ht="18.75" customHeight="1" x14ac:dyDescent="0.4">
      <c r="B602" s="25"/>
      <c r="C602" s="23"/>
    </row>
    <row r="603" spans="2:3" ht="18.75" customHeight="1" x14ac:dyDescent="0.4">
      <c r="B603" s="25"/>
      <c r="C603" s="23"/>
    </row>
    <row r="604" spans="2:3" ht="18.75" customHeight="1" x14ac:dyDescent="0.4">
      <c r="B604" s="25"/>
      <c r="C604" s="23"/>
    </row>
    <row r="605" spans="2:3" ht="18.75" customHeight="1" x14ac:dyDescent="0.4">
      <c r="B605" s="25"/>
      <c r="C605" s="23"/>
    </row>
    <row r="606" spans="2:3" ht="18.75" customHeight="1" x14ac:dyDescent="0.4">
      <c r="B606" s="25"/>
      <c r="C606" s="23"/>
    </row>
    <row r="607" spans="2:3" ht="18.75" customHeight="1" x14ac:dyDescent="0.4">
      <c r="B607" s="25"/>
      <c r="C607" s="23"/>
    </row>
    <row r="608" spans="2:3" ht="18.75" customHeight="1" x14ac:dyDescent="0.4">
      <c r="B608" s="25"/>
      <c r="C608" s="23"/>
    </row>
    <row r="609" spans="2:3" ht="18.75" customHeight="1" x14ac:dyDescent="0.4">
      <c r="B609" s="25"/>
      <c r="C609" s="23"/>
    </row>
    <row r="610" spans="2:3" ht="18.75" customHeight="1" x14ac:dyDescent="0.4">
      <c r="B610" s="25"/>
      <c r="C610" s="23"/>
    </row>
    <row r="611" spans="2:3" ht="18.75" customHeight="1" x14ac:dyDescent="0.4">
      <c r="B611" s="25"/>
      <c r="C611" s="23"/>
    </row>
    <row r="612" spans="2:3" ht="18.75" customHeight="1" x14ac:dyDescent="0.4">
      <c r="B612" s="25"/>
      <c r="C612" s="23"/>
    </row>
    <row r="613" spans="2:3" ht="18.75" customHeight="1" x14ac:dyDescent="0.4">
      <c r="B613" s="25"/>
      <c r="C613" s="23"/>
    </row>
    <row r="614" spans="2:3" ht="18.75" customHeight="1" x14ac:dyDescent="0.4">
      <c r="B614" s="25"/>
      <c r="C614" s="23"/>
    </row>
    <row r="615" spans="2:3" ht="18.75" customHeight="1" x14ac:dyDescent="0.4">
      <c r="B615" s="25"/>
      <c r="C615" s="23"/>
    </row>
    <row r="616" spans="2:3" ht="18.75" customHeight="1" x14ac:dyDescent="0.4">
      <c r="B616" s="25"/>
      <c r="C616" s="23"/>
    </row>
    <row r="617" spans="2:3" ht="18.75" customHeight="1" x14ac:dyDescent="0.4">
      <c r="B617" s="25"/>
      <c r="C617" s="23"/>
    </row>
    <row r="618" spans="2:3" ht="18.75" customHeight="1" x14ac:dyDescent="0.4">
      <c r="B618" s="25"/>
      <c r="C618" s="23"/>
    </row>
    <row r="619" spans="2:3" ht="18.75" customHeight="1" x14ac:dyDescent="0.4">
      <c r="B619" s="25"/>
      <c r="C619" s="23"/>
    </row>
    <row r="620" spans="2:3" ht="18.75" customHeight="1" x14ac:dyDescent="0.4">
      <c r="B620" s="25"/>
      <c r="C620" s="23"/>
    </row>
    <row r="621" spans="2:3" ht="18.75" customHeight="1" x14ac:dyDescent="0.4">
      <c r="B621" s="25"/>
      <c r="C621" s="23"/>
    </row>
    <row r="622" spans="2:3" ht="18.75" customHeight="1" x14ac:dyDescent="0.4">
      <c r="B622" s="25"/>
      <c r="C622" s="23"/>
    </row>
    <row r="623" spans="2:3" ht="18.75" customHeight="1" x14ac:dyDescent="0.4">
      <c r="B623" s="25"/>
      <c r="C623" s="23"/>
    </row>
    <row r="624" spans="2:3" ht="18.75" customHeight="1" x14ac:dyDescent="0.4">
      <c r="B624" s="25"/>
      <c r="C624" s="23"/>
    </row>
    <row r="625" spans="2:3" ht="18.75" customHeight="1" x14ac:dyDescent="0.4">
      <c r="B625" s="25"/>
      <c r="C625" s="23"/>
    </row>
    <row r="626" spans="2:3" ht="18.75" customHeight="1" x14ac:dyDescent="0.4">
      <c r="B626" s="25"/>
      <c r="C626" s="23"/>
    </row>
    <row r="627" spans="2:3" ht="18.75" customHeight="1" x14ac:dyDescent="0.4">
      <c r="B627" s="25"/>
      <c r="C627" s="23"/>
    </row>
    <row r="628" spans="2:3" ht="18.75" customHeight="1" x14ac:dyDescent="0.4">
      <c r="B628" s="25"/>
      <c r="C628" s="23"/>
    </row>
    <row r="629" spans="2:3" ht="18.75" customHeight="1" x14ac:dyDescent="0.4">
      <c r="B629" s="25"/>
      <c r="C629" s="23"/>
    </row>
    <row r="630" spans="2:3" ht="18.75" customHeight="1" x14ac:dyDescent="0.4">
      <c r="B630" s="25"/>
      <c r="C630" s="23"/>
    </row>
    <row r="631" spans="2:3" ht="18.75" customHeight="1" x14ac:dyDescent="0.4">
      <c r="B631" s="25"/>
      <c r="C631" s="23"/>
    </row>
    <row r="632" spans="2:3" ht="18.75" customHeight="1" x14ac:dyDescent="0.4">
      <c r="B632" s="25"/>
      <c r="C632" s="23"/>
    </row>
    <row r="633" spans="2:3" ht="18.75" customHeight="1" x14ac:dyDescent="0.4">
      <c r="B633" s="25"/>
      <c r="C633" s="23"/>
    </row>
    <row r="634" spans="2:3" ht="18.75" customHeight="1" x14ac:dyDescent="0.4">
      <c r="B634" s="25"/>
      <c r="C634" s="23"/>
    </row>
    <row r="635" spans="2:3" ht="18.75" customHeight="1" x14ac:dyDescent="0.4">
      <c r="B635" s="25"/>
      <c r="C635" s="23"/>
    </row>
    <row r="636" spans="2:3" ht="18.75" customHeight="1" x14ac:dyDescent="0.4">
      <c r="B636" s="25"/>
      <c r="C636" s="23"/>
    </row>
    <row r="637" spans="2:3" ht="18.75" customHeight="1" x14ac:dyDescent="0.4">
      <c r="B637" s="25"/>
      <c r="C637" s="23"/>
    </row>
    <row r="638" spans="2:3" ht="18.75" customHeight="1" x14ac:dyDescent="0.4">
      <c r="B638" s="25"/>
      <c r="C638" s="23"/>
    </row>
    <row r="639" spans="2:3" ht="18.75" customHeight="1" x14ac:dyDescent="0.4">
      <c r="B639" s="25"/>
      <c r="C639" s="23"/>
    </row>
    <row r="640" spans="2:3" ht="18.75" customHeight="1" x14ac:dyDescent="0.4">
      <c r="B640" s="25"/>
      <c r="C640" s="23"/>
    </row>
    <row r="641" spans="2:3" ht="18.75" customHeight="1" x14ac:dyDescent="0.4">
      <c r="B641" s="25"/>
      <c r="C641" s="23"/>
    </row>
    <row r="642" spans="2:3" ht="18.75" customHeight="1" x14ac:dyDescent="0.4">
      <c r="B642" s="25"/>
      <c r="C642" s="23"/>
    </row>
    <row r="643" spans="2:3" ht="18.75" customHeight="1" x14ac:dyDescent="0.4">
      <c r="B643" s="25"/>
      <c r="C643" s="23"/>
    </row>
    <row r="644" spans="2:3" ht="18.75" customHeight="1" x14ac:dyDescent="0.4">
      <c r="B644" s="25"/>
      <c r="C644" s="23"/>
    </row>
    <row r="645" spans="2:3" ht="18.75" customHeight="1" x14ac:dyDescent="0.4">
      <c r="B645" s="25"/>
      <c r="C645" s="23"/>
    </row>
    <row r="646" spans="2:3" ht="18.75" customHeight="1" x14ac:dyDescent="0.4">
      <c r="B646" s="25"/>
      <c r="C646" s="23"/>
    </row>
    <row r="647" spans="2:3" ht="18.75" customHeight="1" x14ac:dyDescent="0.4">
      <c r="B647" s="25"/>
      <c r="C647" s="23"/>
    </row>
    <row r="648" spans="2:3" ht="18.75" customHeight="1" x14ac:dyDescent="0.4">
      <c r="B648" s="25"/>
      <c r="C648" s="23"/>
    </row>
    <row r="649" spans="2:3" ht="18.75" customHeight="1" x14ac:dyDescent="0.4">
      <c r="B649" s="25"/>
      <c r="C649" s="23"/>
    </row>
    <row r="650" spans="2:3" ht="18.75" customHeight="1" x14ac:dyDescent="0.4">
      <c r="B650" s="25"/>
      <c r="C650" s="23"/>
    </row>
    <row r="651" spans="2:3" ht="18.75" customHeight="1" x14ac:dyDescent="0.4">
      <c r="B651" s="25"/>
      <c r="C651" s="23"/>
    </row>
    <row r="652" spans="2:3" ht="18.75" customHeight="1" x14ac:dyDescent="0.4">
      <c r="B652" s="25"/>
      <c r="C652" s="23"/>
    </row>
    <row r="653" spans="2:3" ht="18.75" customHeight="1" x14ac:dyDescent="0.4">
      <c r="B653" s="25"/>
      <c r="C653" s="23"/>
    </row>
    <row r="654" spans="2:3" ht="18.75" customHeight="1" x14ac:dyDescent="0.4">
      <c r="B654" s="25"/>
      <c r="C654" s="23"/>
    </row>
    <row r="655" spans="2:3" ht="18.75" customHeight="1" x14ac:dyDescent="0.4">
      <c r="B655" s="25"/>
      <c r="C655" s="23"/>
    </row>
    <row r="656" spans="2:3" ht="18.75" customHeight="1" x14ac:dyDescent="0.4">
      <c r="B656" s="25"/>
      <c r="C656" s="23"/>
    </row>
    <row r="657" spans="2:3" ht="18.75" customHeight="1" x14ac:dyDescent="0.4">
      <c r="B657" s="25"/>
      <c r="C657" s="23"/>
    </row>
    <row r="658" spans="2:3" ht="18.75" customHeight="1" x14ac:dyDescent="0.4">
      <c r="B658" s="25"/>
      <c r="C658" s="23"/>
    </row>
    <row r="659" spans="2:3" ht="18.75" customHeight="1" x14ac:dyDescent="0.4">
      <c r="B659" s="25"/>
      <c r="C659" s="23"/>
    </row>
    <row r="660" spans="2:3" ht="18.75" customHeight="1" x14ac:dyDescent="0.4">
      <c r="B660" s="25"/>
      <c r="C660" s="23"/>
    </row>
    <row r="661" spans="2:3" ht="18.75" customHeight="1" x14ac:dyDescent="0.4">
      <c r="B661" s="25"/>
      <c r="C661" s="23"/>
    </row>
    <row r="662" spans="2:3" ht="18.75" customHeight="1" x14ac:dyDescent="0.4">
      <c r="B662" s="25"/>
      <c r="C662" s="23"/>
    </row>
    <row r="663" spans="2:3" ht="18.75" customHeight="1" x14ac:dyDescent="0.4">
      <c r="B663" s="25"/>
      <c r="C663" s="23"/>
    </row>
    <row r="664" spans="2:3" ht="18.75" customHeight="1" x14ac:dyDescent="0.4">
      <c r="B664" s="25"/>
      <c r="C664" s="23"/>
    </row>
    <row r="665" spans="2:3" ht="18.75" customHeight="1" x14ac:dyDescent="0.4">
      <c r="B665" s="25"/>
      <c r="C665" s="23"/>
    </row>
    <row r="666" spans="2:3" ht="18.75" customHeight="1" x14ac:dyDescent="0.4">
      <c r="B666" s="25"/>
      <c r="C666" s="23"/>
    </row>
    <row r="667" spans="2:3" ht="18.75" customHeight="1" x14ac:dyDescent="0.4">
      <c r="B667" s="25"/>
      <c r="C667" s="23"/>
    </row>
    <row r="668" spans="2:3" ht="18.75" customHeight="1" x14ac:dyDescent="0.4">
      <c r="B668" s="25"/>
      <c r="C668" s="23"/>
    </row>
    <row r="669" spans="2:3" ht="18.75" customHeight="1" x14ac:dyDescent="0.4">
      <c r="B669" s="25"/>
      <c r="C669" s="23"/>
    </row>
    <row r="670" spans="2:3" ht="18.75" customHeight="1" x14ac:dyDescent="0.4">
      <c r="B670" s="25"/>
      <c r="C670" s="23"/>
    </row>
    <row r="671" spans="2:3" ht="18.75" customHeight="1" x14ac:dyDescent="0.4">
      <c r="B671" s="25"/>
      <c r="C671" s="23"/>
    </row>
    <row r="672" spans="2:3" ht="18.75" customHeight="1" x14ac:dyDescent="0.4">
      <c r="B672" s="25"/>
      <c r="C672" s="23"/>
    </row>
    <row r="673" spans="2:3" ht="18.75" customHeight="1" x14ac:dyDescent="0.4">
      <c r="B673" s="25"/>
      <c r="C673" s="23"/>
    </row>
    <row r="674" spans="2:3" ht="18.75" customHeight="1" x14ac:dyDescent="0.4">
      <c r="B674" s="25"/>
      <c r="C674" s="23"/>
    </row>
    <row r="675" spans="2:3" ht="18.75" customHeight="1" x14ac:dyDescent="0.4">
      <c r="B675" s="25"/>
      <c r="C675" s="23"/>
    </row>
    <row r="676" spans="2:3" ht="18.75" customHeight="1" x14ac:dyDescent="0.4">
      <c r="B676" s="25"/>
      <c r="C676" s="23"/>
    </row>
    <row r="677" spans="2:3" ht="18.75" customHeight="1" x14ac:dyDescent="0.4">
      <c r="B677" s="25"/>
      <c r="C677" s="23"/>
    </row>
    <row r="678" spans="2:3" ht="18.75" customHeight="1" x14ac:dyDescent="0.4">
      <c r="B678" s="25"/>
      <c r="C678" s="23"/>
    </row>
    <row r="679" spans="2:3" ht="18.75" customHeight="1" x14ac:dyDescent="0.4">
      <c r="B679" s="25"/>
      <c r="C679" s="23"/>
    </row>
    <row r="680" spans="2:3" ht="18.75" customHeight="1" x14ac:dyDescent="0.4">
      <c r="B680" s="25"/>
      <c r="C680" s="23"/>
    </row>
    <row r="681" spans="2:3" ht="18.75" customHeight="1" x14ac:dyDescent="0.4">
      <c r="B681" s="25"/>
      <c r="C681" s="23"/>
    </row>
    <row r="682" spans="2:3" ht="18.75" customHeight="1" x14ac:dyDescent="0.4">
      <c r="B682" s="25"/>
      <c r="C682" s="23"/>
    </row>
    <row r="683" spans="2:3" ht="18.75" customHeight="1" x14ac:dyDescent="0.4">
      <c r="B683" s="25"/>
      <c r="C683" s="23"/>
    </row>
    <row r="684" spans="2:3" ht="18.75" customHeight="1" x14ac:dyDescent="0.4">
      <c r="B684" s="25"/>
      <c r="C684" s="23"/>
    </row>
    <row r="685" spans="2:3" ht="18.75" customHeight="1" x14ac:dyDescent="0.4">
      <c r="B685" s="25"/>
      <c r="C685" s="23"/>
    </row>
    <row r="686" spans="2:3" ht="18.75" customHeight="1" x14ac:dyDescent="0.4">
      <c r="B686" s="25"/>
      <c r="C686" s="23"/>
    </row>
    <row r="687" spans="2:3" ht="18.75" customHeight="1" x14ac:dyDescent="0.4">
      <c r="B687" s="25"/>
      <c r="C687" s="23"/>
    </row>
    <row r="688" spans="2:3" ht="18.75" customHeight="1" x14ac:dyDescent="0.4">
      <c r="B688" s="25"/>
      <c r="C688" s="23"/>
    </row>
    <row r="689" spans="2:3" ht="18.75" customHeight="1" x14ac:dyDescent="0.4">
      <c r="B689" s="25"/>
      <c r="C689" s="23"/>
    </row>
    <row r="690" spans="2:3" ht="18.75" customHeight="1" x14ac:dyDescent="0.4">
      <c r="B690" s="25"/>
      <c r="C690" s="23"/>
    </row>
    <row r="691" spans="2:3" ht="18.75" customHeight="1" x14ac:dyDescent="0.4">
      <c r="B691" s="25"/>
      <c r="C691" s="23"/>
    </row>
    <row r="692" spans="2:3" ht="18.75" customHeight="1" x14ac:dyDescent="0.4">
      <c r="B692" s="25"/>
      <c r="C692" s="23"/>
    </row>
    <row r="693" spans="2:3" ht="18.75" customHeight="1" x14ac:dyDescent="0.4">
      <c r="B693" s="25"/>
      <c r="C693" s="23"/>
    </row>
    <row r="694" spans="2:3" ht="18.75" customHeight="1" x14ac:dyDescent="0.4">
      <c r="B694" s="25"/>
      <c r="C694" s="23"/>
    </row>
    <row r="695" spans="2:3" ht="18.75" customHeight="1" x14ac:dyDescent="0.4">
      <c r="B695" s="25"/>
      <c r="C695" s="23"/>
    </row>
    <row r="696" spans="2:3" ht="18.75" customHeight="1" x14ac:dyDescent="0.4">
      <c r="B696" s="25"/>
      <c r="C696" s="23"/>
    </row>
    <row r="697" spans="2:3" ht="18.75" customHeight="1" x14ac:dyDescent="0.4">
      <c r="B697" s="25"/>
      <c r="C697" s="23"/>
    </row>
    <row r="698" spans="2:3" ht="18.75" customHeight="1" x14ac:dyDescent="0.4">
      <c r="B698" s="25"/>
      <c r="C698" s="23"/>
    </row>
    <row r="699" spans="2:3" ht="18.75" customHeight="1" x14ac:dyDescent="0.4">
      <c r="B699" s="25"/>
      <c r="C699" s="23"/>
    </row>
    <row r="700" spans="2:3" ht="18.75" customHeight="1" x14ac:dyDescent="0.4">
      <c r="B700" s="25"/>
      <c r="C700" s="23"/>
    </row>
    <row r="701" spans="2:3" ht="18.75" customHeight="1" x14ac:dyDescent="0.4">
      <c r="B701" s="25"/>
      <c r="C701" s="23"/>
    </row>
    <row r="702" spans="2:3" ht="18.75" customHeight="1" x14ac:dyDescent="0.4">
      <c r="B702" s="25"/>
      <c r="C702" s="23"/>
    </row>
    <row r="703" spans="2:3" ht="18.75" customHeight="1" x14ac:dyDescent="0.4">
      <c r="B703" s="25"/>
      <c r="C703" s="23"/>
    </row>
    <row r="704" spans="2:3" ht="18.75" customHeight="1" x14ac:dyDescent="0.4">
      <c r="B704" s="25"/>
      <c r="C704" s="23"/>
    </row>
    <row r="705" spans="2:3" ht="18.75" customHeight="1" x14ac:dyDescent="0.4">
      <c r="B705" s="25"/>
      <c r="C705" s="23"/>
    </row>
    <row r="706" spans="2:3" ht="18.75" customHeight="1" x14ac:dyDescent="0.4">
      <c r="B706" s="25"/>
      <c r="C706" s="23"/>
    </row>
    <row r="707" spans="2:3" ht="18.75" customHeight="1" x14ac:dyDescent="0.4">
      <c r="B707" s="25"/>
      <c r="C707" s="23"/>
    </row>
    <row r="708" spans="2:3" ht="18.75" customHeight="1" x14ac:dyDescent="0.4">
      <c r="B708" s="25"/>
      <c r="C708" s="23"/>
    </row>
    <row r="709" spans="2:3" ht="18.75" customHeight="1" x14ac:dyDescent="0.4">
      <c r="B709" s="25"/>
      <c r="C709" s="23"/>
    </row>
    <row r="710" spans="2:3" ht="18.75" customHeight="1" x14ac:dyDescent="0.4">
      <c r="B710" s="25"/>
      <c r="C710" s="23"/>
    </row>
    <row r="711" spans="2:3" ht="18.75" customHeight="1" x14ac:dyDescent="0.4">
      <c r="B711" s="25"/>
      <c r="C711" s="23"/>
    </row>
    <row r="712" spans="2:3" ht="18.75" customHeight="1" x14ac:dyDescent="0.4">
      <c r="B712" s="25"/>
      <c r="C712" s="23"/>
    </row>
    <row r="713" spans="2:3" ht="18.75" customHeight="1" x14ac:dyDescent="0.4">
      <c r="B713" s="25"/>
      <c r="C713" s="23"/>
    </row>
    <row r="714" spans="2:3" ht="18.75" customHeight="1" x14ac:dyDescent="0.4">
      <c r="B714" s="25"/>
      <c r="C714" s="23"/>
    </row>
    <row r="715" spans="2:3" ht="18.75" customHeight="1" x14ac:dyDescent="0.4">
      <c r="B715" s="25"/>
      <c r="C715" s="23"/>
    </row>
    <row r="716" spans="2:3" ht="18.75" customHeight="1" x14ac:dyDescent="0.4">
      <c r="B716" s="25"/>
      <c r="C716" s="23"/>
    </row>
    <row r="717" spans="2:3" ht="18.75" customHeight="1" x14ac:dyDescent="0.4">
      <c r="B717" s="25"/>
      <c r="C717" s="23"/>
    </row>
    <row r="718" spans="2:3" ht="18.75" customHeight="1" x14ac:dyDescent="0.4">
      <c r="B718" s="25"/>
      <c r="C718" s="23"/>
    </row>
    <row r="719" spans="2:3" ht="18.75" customHeight="1" x14ac:dyDescent="0.4">
      <c r="B719" s="25"/>
      <c r="C719" s="23"/>
    </row>
    <row r="720" spans="2:3" ht="18.75" customHeight="1" x14ac:dyDescent="0.4">
      <c r="B720" s="25"/>
      <c r="C720" s="23"/>
    </row>
    <row r="721" spans="2:3" ht="18.75" customHeight="1" x14ac:dyDescent="0.4">
      <c r="B721" s="25"/>
      <c r="C721" s="23"/>
    </row>
    <row r="722" spans="2:3" ht="18.75" customHeight="1" x14ac:dyDescent="0.4">
      <c r="B722" s="25"/>
      <c r="C722" s="23"/>
    </row>
    <row r="723" spans="2:3" ht="18.75" customHeight="1" x14ac:dyDescent="0.4">
      <c r="B723" s="25"/>
      <c r="C723" s="23"/>
    </row>
    <row r="724" spans="2:3" ht="18.75" customHeight="1" x14ac:dyDescent="0.4">
      <c r="B724" s="25"/>
      <c r="C724" s="23"/>
    </row>
    <row r="725" spans="2:3" ht="18.75" customHeight="1" x14ac:dyDescent="0.4">
      <c r="B725" s="25"/>
      <c r="C725" s="23"/>
    </row>
    <row r="726" spans="2:3" ht="18.75" customHeight="1" x14ac:dyDescent="0.4">
      <c r="B726" s="25"/>
      <c r="C726" s="23"/>
    </row>
    <row r="727" spans="2:3" ht="18.75" customHeight="1" x14ac:dyDescent="0.4">
      <c r="B727" s="25"/>
      <c r="C727" s="23"/>
    </row>
    <row r="728" spans="2:3" ht="18.75" customHeight="1" x14ac:dyDescent="0.4">
      <c r="B728" s="25"/>
      <c r="C728" s="23"/>
    </row>
    <row r="729" spans="2:3" ht="18.75" customHeight="1" x14ac:dyDescent="0.4">
      <c r="B729" s="25"/>
      <c r="C729" s="23"/>
    </row>
    <row r="730" spans="2:3" ht="18.75" customHeight="1" x14ac:dyDescent="0.4">
      <c r="B730" s="25"/>
      <c r="C730" s="23"/>
    </row>
    <row r="731" spans="2:3" ht="18.75" customHeight="1" x14ac:dyDescent="0.4">
      <c r="B731" s="25"/>
      <c r="C731" s="23"/>
    </row>
    <row r="732" spans="2:3" ht="18.75" customHeight="1" x14ac:dyDescent="0.4">
      <c r="B732" s="25"/>
      <c r="C732" s="23"/>
    </row>
    <row r="733" spans="2:3" ht="18.75" customHeight="1" x14ac:dyDescent="0.4">
      <c r="B733" s="25"/>
      <c r="C733" s="23"/>
    </row>
    <row r="734" spans="2:3" ht="18.75" customHeight="1" x14ac:dyDescent="0.4">
      <c r="B734" s="25"/>
      <c r="C734" s="23"/>
    </row>
    <row r="735" spans="2:3" ht="18.75" customHeight="1" x14ac:dyDescent="0.4">
      <c r="B735" s="25"/>
      <c r="C735" s="23"/>
    </row>
    <row r="736" spans="2:3" ht="18.75" customHeight="1" x14ac:dyDescent="0.4">
      <c r="B736" s="25"/>
      <c r="C736" s="23"/>
    </row>
    <row r="737" spans="2:3" ht="18.75" customHeight="1" x14ac:dyDescent="0.4">
      <c r="B737" s="25"/>
      <c r="C737" s="23"/>
    </row>
    <row r="738" spans="2:3" ht="18.75" customHeight="1" x14ac:dyDescent="0.4">
      <c r="B738" s="25"/>
      <c r="C738" s="23"/>
    </row>
    <row r="739" spans="2:3" ht="18.75" customHeight="1" x14ac:dyDescent="0.4">
      <c r="B739" s="25"/>
      <c r="C739" s="23"/>
    </row>
    <row r="740" spans="2:3" ht="18.75" customHeight="1" x14ac:dyDescent="0.4">
      <c r="B740" s="25"/>
      <c r="C740" s="23"/>
    </row>
    <row r="741" spans="2:3" ht="18.75" customHeight="1" x14ac:dyDescent="0.4">
      <c r="B741" s="25"/>
      <c r="C741" s="23"/>
    </row>
    <row r="742" spans="2:3" ht="18.75" customHeight="1" x14ac:dyDescent="0.4">
      <c r="B742" s="25"/>
      <c r="C742" s="23"/>
    </row>
    <row r="743" spans="2:3" ht="18.75" customHeight="1" x14ac:dyDescent="0.4">
      <c r="B743" s="25"/>
      <c r="C743" s="23"/>
    </row>
    <row r="744" spans="2:3" ht="18.75" customHeight="1" x14ac:dyDescent="0.4">
      <c r="B744" s="25"/>
      <c r="C744" s="23"/>
    </row>
    <row r="745" spans="2:3" ht="18.75" customHeight="1" x14ac:dyDescent="0.4">
      <c r="B745" s="25"/>
      <c r="C745" s="23"/>
    </row>
    <row r="746" spans="2:3" ht="18.75" customHeight="1" x14ac:dyDescent="0.4">
      <c r="B746" s="25"/>
      <c r="C746" s="23"/>
    </row>
    <row r="747" spans="2:3" ht="18.75" customHeight="1" x14ac:dyDescent="0.4">
      <c r="B747" s="25"/>
      <c r="C747" s="23"/>
    </row>
    <row r="748" spans="2:3" ht="18.75" customHeight="1" x14ac:dyDescent="0.4">
      <c r="B748" s="25"/>
      <c r="C748" s="23"/>
    </row>
    <row r="749" spans="2:3" ht="18.75" customHeight="1" x14ac:dyDescent="0.4">
      <c r="B749" s="25"/>
      <c r="C749" s="23"/>
    </row>
    <row r="750" spans="2:3" ht="18.75" customHeight="1" x14ac:dyDescent="0.4">
      <c r="B750" s="25"/>
      <c r="C750" s="23"/>
    </row>
    <row r="751" spans="2:3" ht="18.75" customHeight="1" x14ac:dyDescent="0.4">
      <c r="B751" s="25"/>
      <c r="C751" s="23"/>
    </row>
    <row r="752" spans="2:3" ht="18.75" customHeight="1" x14ac:dyDescent="0.4">
      <c r="B752" s="25"/>
      <c r="C752" s="23"/>
    </row>
    <row r="753" spans="2:3" ht="18.75" customHeight="1" x14ac:dyDescent="0.4">
      <c r="B753" s="25"/>
      <c r="C753" s="23"/>
    </row>
    <row r="754" spans="2:3" ht="18.75" customHeight="1" x14ac:dyDescent="0.4">
      <c r="B754" s="25"/>
      <c r="C754" s="23"/>
    </row>
    <row r="755" spans="2:3" ht="18.75" customHeight="1" x14ac:dyDescent="0.4">
      <c r="B755" s="25"/>
      <c r="C755" s="23"/>
    </row>
    <row r="756" spans="2:3" ht="18.75" customHeight="1" x14ac:dyDescent="0.4">
      <c r="B756" s="25"/>
      <c r="C756" s="23"/>
    </row>
    <row r="757" spans="2:3" ht="18.75" customHeight="1" x14ac:dyDescent="0.4">
      <c r="B757" s="25"/>
      <c r="C757" s="23"/>
    </row>
    <row r="758" spans="2:3" ht="18.75" customHeight="1" x14ac:dyDescent="0.4">
      <c r="B758" s="25"/>
      <c r="C758" s="23"/>
    </row>
    <row r="759" spans="2:3" ht="18.75" customHeight="1" x14ac:dyDescent="0.4">
      <c r="B759" s="25"/>
      <c r="C759" s="23"/>
    </row>
    <row r="760" spans="2:3" ht="18.75" customHeight="1" x14ac:dyDescent="0.4">
      <c r="B760" s="25"/>
      <c r="C760" s="23"/>
    </row>
    <row r="761" spans="2:3" ht="18.75" customHeight="1" x14ac:dyDescent="0.4">
      <c r="B761" s="25"/>
      <c r="C761" s="23"/>
    </row>
    <row r="762" spans="2:3" ht="18.75" customHeight="1" x14ac:dyDescent="0.4">
      <c r="B762" s="25"/>
      <c r="C762" s="23"/>
    </row>
    <row r="763" spans="2:3" ht="18.75" customHeight="1" x14ac:dyDescent="0.4">
      <c r="B763" s="25"/>
      <c r="C763" s="23"/>
    </row>
    <row r="764" spans="2:3" ht="18.75" customHeight="1" x14ac:dyDescent="0.4">
      <c r="B764" s="25"/>
      <c r="C764" s="23"/>
    </row>
    <row r="765" spans="2:3" ht="18.75" customHeight="1" x14ac:dyDescent="0.4">
      <c r="B765" s="25"/>
      <c r="C765" s="23"/>
    </row>
    <row r="766" spans="2:3" ht="18.75" customHeight="1" x14ac:dyDescent="0.4">
      <c r="B766" s="25"/>
      <c r="C766" s="23"/>
    </row>
    <row r="767" spans="2:3" ht="18.75" customHeight="1" x14ac:dyDescent="0.4">
      <c r="B767" s="25"/>
      <c r="C767" s="23"/>
    </row>
    <row r="768" spans="2:3" ht="18.75" customHeight="1" x14ac:dyDescent="0.4">
      <c r="B768" s="25"/>
      <c r="C768" s="23"/>
    </row>
    <row r="769" spans="2:3" ht="18.75" customHeight="1" x14ac:dyDescent="0.4">
      <c r="B769" s="25"/>
      <c r="C769" s="23"/>
    </row>
    <row r="770" spans="2:3" ht="18.75" customHeight="1" x14ac:dyDescent="0.4">
      <c r="B770" s="25"/>
      <c r="C770" s="23"/>
    </row>
    <row r="771" spans="2:3" ht="18.75" customHeight="1" x14ac:dyDescent="0.4">
      <c r="B771" s="25"/>
      <c r="C771" s="23"/>
    </row>
    <row r="772" spans="2:3" ht="18.75" customHeight="1" x14ac:dyDescent="0.4">
      <c r="B772" s="25"/>
      <c r="C772" s="23"/>
    </row>
    <row r="773" spans="2:3" ht="18.75" customHeight="1" x14ac:dyDescent="0.4">
      <c r="B773" s="25"/>
      <c r="C773" s="23"/>
    </row>
    <row r="774" spans="2:3" ht="18.75" customHeight="1" x14ac:dyDescent="0.4">
      <c r="B774" s="25"/>
      <c r="C774" s="23"/>
    </row>
    <row r="775" spans="2:3" ht="18.75" customHeight="1" x14ac:dyDescent="0.4">
      <c r="B775" s="25"/>
      <c r="C775" s="23"/>
    </row>
    <row r="776" spans="2:3" ht="18.75" customHeight="1" x14ac:dyDescent="0.4">
      <c r="B776" s="25"/>
      <c r="C776" s="23"/>
    </row>
    <row r="777" spans="2:3" ht="18.75" customHeight="1" x14ac:dyDescent="0.4">
      <c r="B777" s="25"/>
      <c r="C777" s="23"/>
    </row>
    <row r="778" spans="2:3" ht="18.75" customHeight="1" x14ac:dyDescent="0.4">
      <c r="B778" s="25"/>
      <c r="C778" s="23"/>
    </row>
    <row r="779" spans="2:3" ht="18.75" customHeight="1" x14ac:dyDescent="0.4">
      <c r="B779" s="25"/>
      <c r="C779" s="23"/>
    </row>
    <row r="780" spans="2:3" ht="18.75" customHeight="1" x14ac:dyDescent="0.4">
      <c r="B780" s="25"/>
      <c r="C780" s="23"/>
    </row>
    <row r="781" spans="2:3" ht="18.75" customHeight="1" x14ac:dyDescent="0.4">
      <c r="B781" s="25"/>
      <c r="C781" s="23"/>
    </row>
    <row r="782" spans="2:3" ht="18.75" customHeight="1" x14ac:dyDescent="0.4">
      <c r="B782" s="25"/>
      <c r="C782" s="23"/>
    </row>
    <row r="783" spans="2:3" ht="18.75" customHeight="1" x14ac:dyDescent="0.4">
      <c r="B783" s="25"/>
      <c r="C783" s="23"/>
    </row>
    <row r="784" spans="2:3" ht="18.75" customHeight="1" x14ac:dyDescent="0.4">
      <c r="B784" s="25"/>
      <c r="C784" s="23"/>
    </row>
    <row r="785" spans="2:3" ht="18.75" customHeight="1" x14ac:dyDescent="0.4">
      <c r="B785" s="25"/>
      <c r="C785" s="23"/>
    </row>
    <row r="786" spans="2:3" ht="18.75" customHeight="1" x14ac:dyDescent="0.4">
      <c r="B786" s="25"/>
      <c r="C786" s="23"/>
    </row>
    <row r="787" spans="2:3" ht="18.75" customHeight="1" x14ac:dyDescent="0.4">
      <c r="B787" s="25"/>
      <c r="C787" s="23"/>
    </row>
    <row r="788" spans="2:3" ht="18.75" customHeight="1" x14ac:dyDescent="0.4">
      <c r="B788" s="25"/>
      <c r="C788" s="23"/>
    </row>
    <row r="789" spans="2:3" ht="18.75" customHeight="1" x14ac:dyDescent="0.4">
      <c r="B789" s="25"/>
      <c r="C789" s="23"/>
    </row>
    <row r="790" spans="2:3" ht="18.75" customHeight="1" x14ac:dyDescent="0.4">
      <c r="B790" s="25"/>
      <c r="C790" s="23"/>
    </row>
    <row r="791" spans="2:3" ht="18.75" customHeight="1" x14ac:dyDescent="0.4">
      <c r="B791" s="25"/>
      <c r="C791" s="23"/>
    </row>
    <row r="792" spans="2:3" ht="18.75" customHeight="1" x14ac:dyDescent="0.4">
      <c r="B792" s="25"/>
      <c r="C792" s="23"/>
    </row>
    <row r="793" spans="2:3" ht="18.75" customHeight="1" x14ac:dyDescent="0.4">
      <c r="B793" s="25"/>
      <c r="C793" s="23"/>
    </row>
    <row r="794" spans="2:3" ht="18.75" customHeight="1" x14ac:dyDescent="0.4">
      <c r="B794" s="25"/>
      <c r="C794" s="23"/>
    </row>
    <row r="795" spans="2:3" ht="18.75" customHeight="1" x14ac:dyDescent="0.4">
      <c r="B795" s="25"/>
      <c r="C795" s="23"/>
    </row>
    <row r="796" spans="2:3" ht="18.75" customHeight="1" x14ac:dyDescent="0.4">
      <c r="B796" s="25"/>
      <c r="C796" s="23"/>
    </row>
    <row r="797" spans="2:3" ht="18.75" customHeight="1" x14ac:dyDescent="0.4">
      <c r="B797" s="25"/>
      <c r="C797" s="23"/>
    </row>
    <row r="798" spans="2:3" ht="18.75" customHeight="1" x14ac:dyDescent="0.4">
      <c r="B798" s="25"/>
      <c r="C798" s="23"/>
    </row>
    <row r="799" spans="2:3" ht="18.75" customHeight="1" x14ac:dyDescent="0.4">
      <c r="B799" s="25"/>
      <c r="C799" s="23"/>
    </row>
    <row r="800" spans="2:3" ht="18.75" customHeight="1" x14ac:dyDescent="0.4">
      <c r="B800" s="25"/>
      <c r="C800" s="23"/>
    </row>
    <row r="801" spans="2:3" ht="18.75" customHeight="1" x14ac:dyDescent="0.4">
      <c r="B801" s="25"/>
      <c r="C801" s="23"/>
    </row>
    <row r="802" spans="2:3" ht="18.75" customHeight="1" x14ac:dyDescent="0.4">
      <c r="B802" s="25"/>
      <c r="C802" s="23"/>
    </row>
    <row r="803" spans="2:3" ht="18.75" customHeight="1" x14ac:dyDescent="0.4">
      <c r="B803" s="25"/>
      <c r="C803" s="23"/>
    </row>
    <row r="804" spans="2:3" ht="18.75" customHeight="1" x14ac:dyDescent="0.4">
      <c r="B804" s="25"/>
      <c r="C804" s="23"/>
    </row>
    <row r="805" spans="2:3" ht="18.75" customHeight="1" x14ac:dyDescent="0.4">
      <c r="B805" s="25"/>
      <c r="C805" s="23"/>
    </row>
    <row r="806" spans="2:3" ht="18.75" customHeight="1" x14ac:dyDescent="0.4">
      <c r="B806" s="25"/>
      <c r="C806" s="23"/>
    </row>
    <row r="807" spans="2:3" ht="18.75" customHeight="1" x14ac:dyDescent="0.4">
      <c r="B807" s="25"/>
      <c r="C807" s="23"/>
    </row>
    <row r="808" spans="2:3" ht="18.75" customHeight="1" x14ac:dyDescent="0.4">
      <c r="B808" s="25"/>
      <c r="C808" s="23"/>
    </row>
    <row r="809" spans="2:3" ht="18.75" customHeight="1" x14ac:dyDescent="0.4">
      <c r="B809" s="25"/>
      <c r="C809" s="23"/>
    </row>
    <row r="810" spans="2:3" ht="18.75" customHeight="1" x14ac:dyDescent="0.4">
      <c r="B810" s="25"/>
      <c r="C810" s="23"/>
    </row>
    <row r="811" spans="2:3" ht="18.75" customHeight="1" x14ac:dyDescent="0.4">
      <c r="B811" s="25"/>
      <c r="C811" s="23"/>
    </row>
    <row r="812" spans="2:3" ht="18.75" customHeight="1" x14ac:dyDescent="0.4">
      <c r="B812" s="25"/>
      <c r="C812" s="23"/>
    </row>
    <row r="813" spans="2:3" ht="18.75" customHeight="1" x14ac:dyDescent="0.4">
      <c r="B813" s="25"/>
      <c r="C813" s="23"/>
    </row>
    <row r="814" spans="2:3" ht="18.75" customHeight="1" x14ac:dyDescent="0.4">
      <c r="B814" s="25"/>
      <c r="C814" s="23"/>
    </row>
    <row r="815" spans="2:3" ht="18.75" customHeight="1" x14ac:dyDescent="0.4">
      <c r="B815" s="25"/>
      <c r="C815" s="23"/>
    </row>
    <row r="816" spans="2:3" ht="18.75" customHeight="1" x14ac:dyDescent="0.4">
      <c r="B816" s="25"/>
      <c r="C816" s="23"/>
    </row>
    <row r="817" spans="2:3" ht="18.75" customHeight="1" x14ac:dyDescent="0.4">
      <c r="B817" s="25"/>
      <c r="C817" s="23"/>
    </row>
    <row r="818" spans="2:3" ht="18.75" customHeight="1" x14ac:dyDescent="0.4">
      <c r="B818" s="25"/>
      <c r="C818" s="23"/>
    </row>
    <row r="819" spans="2:3" ht="18.75" customHeight="1" x14ac:dyDescent="0.4">
      <c r="B819" s="25"/>
      <c r="C819" s="23"/>
    </row>
    <row r="820" spans="2:3" ht="18.75" customHeight="1" x14ac:dyDescent="0.4">
      <c r="B820" s="25"/>
      <c r="C820" s="23"/>
    </row>
    <row r="821" spans="2:3" ht="18.75" customHeight="1" x14ac:dyDescent="0.4">
      <c r="B821" s="25"/>
      <c r="C821" s="23"/>
    </row>
    <row r="822" spans="2:3" ht="18.75" customHeight="1" x14ac:dyDescent="0.4">
      <c r="B822" s="25"/>
      <c r="C822" s="23"/>
    </row>
    <row r="823" spans="2:3" ht="18.75" customHeight="1" x14ac:dyDescent="0.4">
      <c r="B823" s="25"/>
      <c r="C823" s="23"/>
    </row>
    <row r="824" spans="2:3" ht="18.75" customHeight="1" x14ac:dyDescent="0.4">
      <c r="B824" s="25"/>
      <c r="C824" s="23"/>
    </row>
    <row r="825" spans="2:3" ht="18.75" customHeight="1" x14ac:dyDescent="0.4">
      <c r="B825" s="25"/>
      <c r="C825" s="23"/>
    </row>
    <row r="826" spans="2:3" ht="18.75" customHeight="1" x14ac:dyDescent="0.4">
      <c r="B826" s="25"/>
      <c r="C826" s="23"/>
    </row>
    <row r="827" spans="2:3" ht="18.75" customHeight="1" x14ac:dyDescent="0.4">
      <c r="B827" s="25"/>
      <c r="C827" s="23"/>
    </row>
    <row r="828" spans="2:3" ht="18.75" customHeight="1" x14ac:dyDescent="0.4">
      <c r="B828" s="25"/>
      <c r="C828" s="23"/>
    </row>
    <row r="829" spans="2:3" ht="18.75" customHeight="1" x14ac:dyDescent="0.4">
      <c r="B829" s="25"/>
      <c r="C829" s="23"/>
    </row>
    <row r="830" spans="2:3" ht="18.75" customHeight="1" x14ac:dyDescent="0.4">
      <c r="B830" s="25"/>
      <c r="C830" s="23"/>
    </row>
    <row r="831" spans="2:3" ht="18.75" customHeight="1" x14ac:dyDescent="0.4">
      <c r="B831" s="25"/>
      <c r="C831" s="23"/>
    </row>
    <row r="832" spans="2:3" ht="18.75" customHeight="1" x14ac:dyDescent="0.4">
      <c r="B832" s="25"/>
      <c r="C832" s="23"/>
    </row>
    <row r="833" spans="2:3" ht="18.75" customHeight="1" x14ac:dyDescent="0.4">
      <c r="B833" s="25"/>
      <c r="C833" s="23"/>
    </row>
    <row r="834" spans="2:3" ht="18.75" customHeight="1" x14ac:dyDescent="0.4">
      <c r="B834" s="25"/>
      <c r="C834" s="23"/>
    </row>
    <row r="835" spans="2:3" ht="18.75" customHeight="1" x14ac:dyDescent="0.4">
      <c r="B835" s="25"/>
      <c r="C835" s="23"/>
    </row>
    <row r="836" spans="2:3" ht="18.75" customHeight="1" x14ac:dyDescent="0.4">
      <c r="B836" s="25"/>
      <c r="C836" s="23"/>
    </row>
    <row r="837" spans="2:3" ht="18.75" customHeight="1" x14ac:dyDescent="0.4">
      <c r="B837" s="25"/>
      <c r="C837" s="23"/>
    </row>
    <row r="838" spans="2:3" ht="18.75" customHeight="1" x14ac:dyDescent="0.4">
      <c r="B838" s="25"/>
      <c r="C838" s="23"/>
    </row>
    <row r="839" spans="2:3" ht="18.75" customHeight="1" x14ac:dyDescent="0.4">
      <c r="B839" s="25"/>
      <c r="C839" s="23"/>
    </row>
    <row r="840" spans="2:3" ht="18.75" customHeight="1" x14ac:dyDescent="0.4">
      <c r="B840" s="25"/>
      <c r="C840" s="23"/>
    </row>
    <row r="841" spans="2:3" ht="18.75" customHeight="1" x14ac:dyDescent="0.4">
      <c r="B841" s="25"/>
      <c r="C841" s="23"/>
    </row>
    <row r="842" spans="2:3" ht="18.75" customHeight="1" x14ac:dyDescent="0.4">
      <c r="B842" s="25"/>
      <c r="C842" s="23"/>
    </row>
    <row r="843" spans="2:3" ht="18.75" customHeight="1" x14ac:dyDescent="0.4">
      <c r="B843" s="25"/>
      <c r="C843" s="23"/>
    </row>
    <row r="844" spans="2:3" ht="18.75" customHeight="1" x14ac:dyDescent="0.4">
      <c r="B844" s="25"/>
      <c r="C844" s="23"/>
    </row>
    <row r="845" spans="2:3" ht="18.75" customHeight="1" x14ac:dyDescent="0.4">
      <c r="B845" s="25"/>
      <c r="C845" s="23"/>
    </row>
    <row r="846" spans="2:3" ht="18.75" customHeight="1" x14ac:dyDescent="0.4">
      <c r="B846" s="25"/>
      <c r="C846" s="23"/>
    </row>
    <row r="847" spans="2:3" ht="18.75" customHeight="1" x14ac:dyDescent="0.4">
      <c r="B847" s="25"/>
      <c r="C847" s="23"/>
    </row>
    <row r="848" spans="2:3" ht="18.75" customHeight="1" x14ac:dyDescent="0.4">
      <c r="B848" s="25"/>
      <c r="C848" s="23"/>
    </row>
    <row r="849" spans="2:3" ht="18.75" customHeight="1" x14ac:dyDescent="0.4">
      <c r="B849" s="25"/>
      <c r="C849" s="23"/>
    </row>
    <row r="850" spans="2:3" ht="18.75" customHeight="1" x14ac:dyDescent="0.4">
      <c r="B850" s="25"/>
      <c r="C850" s="23"/>
    </row>
    <row r="851" spans="2:3" ht="18.75" customHeight="1" x14ac:dyDescent="0.4">
      <c r="B851" s="25"/>
      <c r="C851" s="23"/>
    </row>
    <row r="852" spans="2:3" ht="18.75" customHeight="1" x14ac:dyDescent="0.4">
      <c r="B852" s="25"/>
      <c r="C852" s="23"/>
    </row>
    <row r="853" spans="2:3" ht="18.75" customHeight="1" x14ac:dyDescent="0.4">
      <c r="B853" s="25"/>
      <c r="C853" s="23"/>
    </row>
    <row r="854" spans="2:3" ht="18.75" customHeight="1" x14ac:dyDescent="0.4">
      <c r="B854" s="25"/>
      <c r="C854" s="23"/>
    </row>
    <row r="855" spans="2:3" ht="18.75" customHeight="1" x14ac:dyDescent="0.4">
      <c r="B855" s="25"/>
      <c r="C855" s="23"/>
    </row>
    <row r="856" spans="2:3" ht="18.75" customHeight="1" x14ac:dyDescent="0.4">
      <c r="B856" s="25"/>
      <c r="C856" s="23"/>
    </row>
    <row r="857" spans="2:3" ht="18.75" customHeight="1" x14ac:dyDescent="0.4">
      <c r="B857" s="25"/>
      <c r="C857" s="23"/>
    </row>
    <row r="858" spans="2:3" ht="18.75" customHeight="1" x14ac:dyDescent="0.4">
      <c r="B858" s="25"/>
      <c r="C858" s="23"/>
    </row>
    <row r="859" spans="2:3" ht="18.75" customHeight="1" x14ac:dyDescent="0.4">
      <c r="B859" s="25"/>
      <c r="C859" s="23"/>
    </row>
    <row r="860" spans="2:3" ht="18.75" customHeight="1" x14ac:dyDescent="0.4">
      <c r="B860" s="25"/>
      <c r="C860" s="23"/>
    </row>
    <row r="861" spans="2:3" ht="18.75" customHeight="1" x14ac:dyDescent="0.4">
      <c r="B861" s="25"/>
      <c r="C861" s="23"/>
    </row>
    <row r="862" spans="2:3" ht="18.75" customHeight="1" x14ac:dyDescent="0.4">
      <c r="B862" s="25"/>
      <c r="C862" s="23"/>
    </row>
    <row r="863" spans="2:3" ht="18.75" customHeight="1" x14ac:dyDescent="0.4">
      <c r="B863" s="25"/>
      <c r="C863" s="23"/>
    </row>
    <row r="864" spans="2:3" ht="18.75" customHeight="1" x14ac:dyDescent="0.4">
      <c r="B864" s="25"/>
      <c r="C864" s="23"/>
    </row>
    <row r="865" spans="2:3" ht="18.75" customHeight="1" x14ac:dyDescent="0.4">
      <c r="B865" s="25"/>
      <c r="C865" s="23"/>
    </row>
    <row r="866" spans="2:3" ht="18.75" customHeight="1" x14ac:dyDescent="0.4">
      <c r="B866" s="25"/>
      <c r="C866" s="23"/>
    </row>
    <row r="867" spans="2:3" ht="18.75" customHeight="1" x14ac:dyDescent="0.4">
      <c r="B867" s="25"/>
      <c r="C867" s="23"/>
    </row>
    <row r="868" spans="2:3" ht="18.75" customHeight="1" x14ac:dyDescent="0.4">
      <c r="B868" s="25"/>
      <c r="C868" s="23"/>
    </row>
    <row r="869" spans="2:3" ht="18.75" customHeight="1" x14ac:dyDescent="0.4">
      <c r="B869" s="25"/>
      <c r="C869" s="23"/>
    </row>
    <row r="870" spans="2:3" ht="18.75" customHeight="1" x14ac:dyDescent="0.4">
      <c r="B870" s="25"/>
      <c r="C870" s="23"/>
    </row>
    <row r="871" spans="2:3" ht="18.75" customHeight="1" x14ac:dyDescent="0.4">
      <c r="B871" s="25"/>
      <c r="C871" s="23"/>
    </row>
    <row r="872" spans="2:3" ht="18.75" customHeight="1" x14ac:dyDescent="0.4">
      <c r="B872" s="25"/>
      <c r="C872" s="23"/>
    </row>
    <row r="873" spans="2:3" ht="18.75" customHeight="1" x14ac:dyDescent="0.4">
      <c r="B873" s="25"/>
      <c r="C873" s="23"/>
    </row>
    <row r="874" spans="2:3" ht="18.75" customHeight="1" x14ac:dyDescent="0.4">
      <c r="B874" s="25"/>
      <c r="C874" s="23"/>
    </row>
    <row r="875" spans="2:3" ht="18.75" customHeight="1" x14ac:dyDescent="0.4">
      <c r="B875" s="25"/>
      <c r="C875" s="23"/>
    </row>
    <row r="876" spans="2:3" ht="18.75" customHeight="1" x14ac:dyDescent="0.4">
      <c r="B876" s="25"/>
      <c r="C876" s="23"/>
    </row>
    <row r="877" spans="2:3" ht="18.75" customHeight="1" x14ac:dyDescent="0.4">
      <c r="B877" s="25"/>
      <c r="C877" s="23"/>
    </row>
    <row r="878" spans="2:3" ht="18.75" customHeight="1" x14ac:dyDescent="0.4">
      <c r="B878" s="25"/>
      <c r="C878" s="23"/>
    </row>
    <row r="879" spans="2:3" ht="18.75" customHeight="1" x14ac:dyDescent="0.4">
      <c r="B879" s="25"/>
      <c r="C879" s="23"/>
    </row>
    <row r="880" spans="2:3" ht="18.75" customHeight="1" x14ac:dyDescent="0.4">
      <c r="B880" s="25"/>
      <c r="C880" s="23"/>
    </row>
    <row r="881" spans="2:3" ht="18.75" customHeight="1" x14ac:dyDescent="0.4">
      <c r="B881" s="25"/>
      <c r="C881" s="23"/>
    </row>
    <row r="882" spans="2:3" ht="18.75" customHeight="1" x14ac:dyDescent="0.4">
      <c r="B882" s="25"/>
      <c r="C882" s="23"/>
    </row>
    <row r="883" spans="2:3" ht="18.75" customHeight="1" x14ac:dyDescent="0.4">
      <c r="B883" s="25"/>
      <c r="C883" s="23"/>
    </row>
    <row r="884" spans="2:3" ht="18.75" customHeight="1" x14ac:dyDescent="0.4">
      <c r="B884" s="25"/>
      <c r="C884" s="23"/>
    </row>
    <row r="885" spans="2:3" ht="18.75" customHeight="1" x14ac:dyDescent="0.4">
      <c r="B885" s="25"/>
      <c r="C885" s="23"/>
    </row>
    <row r="886" spans="2:3" ht="18.75" customHeight="1" x14ac:dyDescent="0.4">
      <c r="B886" s="25"/>
      <c r="C886" s="23"/>
    </row>
    <row r="887" spans="2:3" ht="18.75" customHeight="1" x14ac:dyDescent="0.4">
      <c r="B887" s="25"/>
      <c r="C887" s="23"/>
    </row>
    <row r="888" spans="2:3" ht="18.75" customHeight="1" x14ac:dyDescent="0.4">
      <c r="B888" s="25"/>
      <c r="C888" s="23"/>
    </row>
    <row r="889" spans="2:3" ht="18.75" customHeight="1" x14ac:dyDescent="0.4">
      <c r="B889" s="25"/>
      <c r="C889" s="23"/>
    </row>
    <row r="890" spans="2:3" ht="18.75" customHeight="1" x14ac:dyDescent="0.4">
      <c r="B890" s="25"/>
      <c r="C890" s="23"/>
    </row>
    <row r="891" spans="2:3" ht="18.75" customHeight="1" x14ac:dyDescent="0.4">
      <c r="B891" s="25"/>
      <c r="C891" s="23"/>
    </row>
    <row r="892" spans="2:3" ht="18.75" customHeight="1" x14ac:dyDescent="0.4">
      <c r="B892" s="25"/>
      <c r="C892" s="23"/>
    </row>
    <row r="893" spans="2:3" ht="18.75" customHeight="1" x14ac:dyDescent="0.4">
      <c r="B893" s="25"/>
      <c r="C893" s="23"/>
    </row>
    <row r="894" spans="2:3" ht="18.75" customHeight="1" x14ac:dyDescent="0.4">
      <c r="B894" s="25"/>
      <c r="C894" s="23"/>
    </row>
    <row r="895" spans="2:3" ht="18.75" customHeight="1" x14ac:dyDescent="0.4">
      <c r="B895" s="25"/>
      <c r="C895" s="23"/>
    </row>
    <row r="896" spans="2:3" ht="18.75" customHeight="1" x14ac:dyDescent="0.4">
      <c r="B896" s="25"/>
      <c r="C896" s="23"/>
    </row>
    <row r="897" spans="2:3" ht="18.75" customHeight="1" x14ac:dyDescent="0.4">
      <c r="B897" s="25"/>
      <c r="C897" s="23"/>
    </row>
    <row r="898" spans="2:3" ht="18.75" customHeight="1" x14ac:dyDescent="0.4">
      <c r="B898" s="25"/>
      <c r="C898" s="23"/>
    </row>
    <row r="899" spans="2:3" ht="18.75" customHeight="1" x14ac:dyDescent="0.4">
      <c r="B899" s="25"/>
      <c r="C899" s="23"/>
    </row>
    <row r="900" spans="2:3" ht="18.75" customHeight="1" x14ac:dyDescent="0.4">
      <c r="B900" s="25"/>
      <c r="C900" s="23"/>
    </row>
    <row r="901" spans="2:3" ht="18.75" customHeight="1" x14ac:dyDescent="0.4">
      <c r="B901" s="25"/>
      <c r="C901" s="23"/>
    </row>
    <row r="902" spans="2:3" ht="18.75" customHeight="1" x14ac:dyDescent="0.4">
      <c r="B902" s="25"/>
      <c r="C902" s="23"/>
    </row>
    <row r="903" spans="2:3" ht="18.75" customHeight="1" x14ac:dyDescent="0.4">
      <c r="B903" s="25"/>
      <c r="C903" s="23"/>
    </row>
    <row r="904" spans="2:3" ht="18.75" customHeight="1" x14ac:dyDescent="0.4">
      <c r="B904" s="25"/>
      <c r="C904" s="23"/>
    </row>
    <row r="905" spans="2:3" ht="18.75" customHeight="1" x14ac:dyDescent="0.4">
      <c r="B905" s="25"/>
      <c r="C905" s="23"/>
    </row>
    <row r="906" spans="2:3" ht="18.75" customHeight="1" x14ac:dyDescent="0.4">
      <c r="B906" s="25"/>
      <c r="C906" s="23"/>
    </row>
    <row r="907" spans="2:3" ht="18.75" customHeight="1" x14ac:dyDescent="0.4">
      <c r="B907" s="25"/>
      <c r="C907" s="23"/>
    </row>
    <row r="908" spans="2:3" ht="18.75" customHeight="1" x14ac:dyDescent="0.4">
      <c r="B908" s="25"/>
      <c r="C908" s="23"/>
    </row>
    <row r="909" spans="2:3" ht="18.75" customHeight="1" x14ac:dyDescent="0.4">
      <c r="B909" s="25"/>
      <c r="C909" s="23"/>
    </row>
    <row r="910" spans="2:3" ht="18.75" customHeight="1" x14ac:dyDescent="0.4">
      <c r="B910" s="25"/>
      <c r="C910" s="23"/>
    </row>
    <row r="911" spans="2:3" ht="18.75" customHeight="1" x14ac:dyDescent="0.4">
      <c r="B911" s="25"/>
      <c r="C911" s="23"/>
    </row>
    <row r="912" spans="2:3" ht="18.75" customHeight="1" x14ac:dyDescent="0.4">
      <c r="B912" s="25"/>
      <c r="C912" s="23"/>
    </row>
    <row r="913" spans="2:3" ht="18.75" customHeight="1" x14ac:dyDescent="0.4">
      <c r="B913" s="25"/>
      <c r="C913" s="23"/>
    </row>
    <row r="914" spans="2:3" ht="18.75" customHeight="1" x14ac:dyDescent="0.4">
      <c r="B914" s="25"/>
      <c r="C914" s="23"/>
    </row>
    <row r="915" spans="2:3" ht="18.75" customHeight="1" x14ac:dyDescent="0.4">
      <c r="B915" s="25"/>
      <c r="C915" s="23"/>
    </row>
    <row r="916" spans="2:3" ht="18.75" customHeight="1" x14ac:dyDescent="0.4">
      <c r="B916" s="25"/>
      <c r="C916" s="23"/>
    </row>
    <row r="917" spans="2:3" ht="18.75" customHeight="1" x14ac:dyDescent="0.4">
      <c r="B917" s="25"/>
      <c r="C917" s="23"/>
    </row>
    <row r="918" spans="2:3" ht="18.75" customHeight="1" x14ac:dyDescent="0.4">
      <c r="B918" s="25"/>
      <c r="C918" s="23"/>
    </row>
    <row r="919" spans="2:3" ht="18.75" customHeight="1" x14ac:dyDescent="0.4">
      <c r="B919" s="25"/>
      <c r="C919" s="23"/>
    </row>
    <row r="920" spans="2:3" ht="18.75" customHeight="1" x14ac:dyDescent="0.4">
      <c r="B920" s="25"/>
      <c r="C920" s="23"/>
    </row>
    <row r="921" spans="2:3" ht="18.75" customHeight="1" x14ac:dyDescent="0.4">
      <c r="B921" s="25"/>
      <c r="C921" s="23"/>
    </row>
    <row r="922" spans="2:3" ht="18.75" customHeight="1" x14ac:dyDescent="0.4">
      <c r="B922" s="25"/>
      <c r="C922" s="23"/>
    </row>
    <row r="923" spans="2:3" ht="18.75" customHeight="1" x14ac:dyDescent="0.4">
      <c r="B923" s="25"/>
      <c r="C923" s="23"/>
    </row>
    <row r="924" spans="2:3" ht="18.75" customHeight="1" x14ac:dyDescent="0.4">
      <c r="B924" s="25"/>
      <c r="C924" s="23"/>
    </row>
    <row r="925" spans="2:3" ht="18.75" customHeight="1" x14ac:dyDescent="0.4">
      <c r="B925" s="25"/>
      <c r="C925" s="23"/>
    </row>
    <row r="926" spans="2:3" ht="18.75" customHeight="1" x14ac:dyDescent="0.4">
      <c r="B926" s="25"/>
      <c r="C926" s="23"/>
    </row>
    <row r="927" spans="2:3" ht="18.75" customHeight="1" x14ac:dyDescent="0.4">
      <c r="B927" s="25"/>
      <c r="C927" s="23"/>
    </row>
    <row r="928" spans="2:3" ht="18.75" customHeight="1" x14ac:dyDescent="0.4">
      <c r="B928" s="25"/>
      <c r="C928" s="23"/>
    </row>
    <row r="929" spans="2:3" ht="18.75" customHeight="1" x14ac:dyDescent="0.4">
      <c r="B929" s="25"/>
      <c r="C929" s="23"/>
    </row>
    <row r="930" spans="2:3" ht="18.75" customHeight="1" x14ac:dyDescent="0.4">
      <c r="B930" s="25"/>
      <c r="C930" s="23"/>
    </row>
    <row r="931" spans="2:3" ht="18.75" customHeight="1" x14ac:dyDescent="0.4">
      <c r="B931" s="25"/>
      <c r="C931" s="23"/>
    </row>
    <row r="932" spans="2:3" ht="18.75" customHeight="1" x14ac:dyDescent="0.4">
      <c r="B932" s="25"/>
      <c r="C932" s="23"/>
    </row>
    <row r="933" spans="2:3" ht="18.75" customHeight="1" x14ac:dyDescent="0.4">
      <c r="B933" s="25"/>
      <c r="C933" s="23"/>
    </row>
    <row r="934" spans="2:3" ht="18.75" customHeight="1" x14ac:dyDescent="0.4">
      <c r="B934" s="25"/>
      <c r="C934" s="23"/>
    </row>
    <row r="935" spans="2:3" ht="18.75" customHeight="1" x14ac:dyDescent="0.4">
      <c r="B935" s="25"/>
      <c r="C935" s="23"/>
    </row>
    <row r="936" spans="2:3" ht="18.75" customHeight="1" x14ac:dyDescent="0.4">
      <c r="B936" s="25"/>
      <c r="C936" s="23"/>
    </row>
    <row r="937" spans="2:3" ht="18.75" customHeight="1" x14ac:dyDescent="0.4">
      <c r="B937" s="25"/>
      <c r="C937" s="23"/>
    </row>
    <row r="938" spans="2:3" ht="18.75" customHeight="1" x14ac:dyDescent="0.4">
      <c r="B938" s="25"/>
      <c r="C938" s="23"/>
    </row>
    <row r="939" spans="2:3" ht="18.75" customHeight="1" x14ac:dyDescent="0.4">
      <c r="B939" s="25"/>
      <c r="C939" s="23"/>
    </row>
    <row r="940" spans="2:3" ht="18.75" customHeight="1" x14ac:dyDescent="0.4">
      <c r="B940" s="25"/>
      <c r="C940" s="23"/>
    </row>
    <row r="941" spans="2:3" ht="18.75" customHeight="1" x14ac:dyDescent="0.4">
      <c r="B941" s="25"/>
      <c r="C941" s="23"/>
    </row>
    <row r="942" spans="2:3" ht="18.75" customHeight="1" x14ac:dyDescent="0.4">
      <c r="B942" s="25"/>
      <c r="C942" s="23"/>
    </row>
    <row r="943" spans="2:3" ht="18.75" customHeight="1" x14ac:dyDescent="0.4">
      <c r="B943" s="25"/>
      <c r="C943" s="23"/>
    </row>
    <row r="944" spans="2:3" ht="18.75" customHeight="1" x14ac:dyDescent="0.4">
      <c r="B944" s="25"/>
      <c r="C944" s="23"/>
    </row>
    <row r="945" spans="2:3" ht="18.75" customHeight="1" x14ac:dyDescent="0.4">
      <c r="B945" s="25"/>
      <c r="C945" s="23"/>
    </row>
    <row r="946" spans="2:3" ht="18.75" customHeight="1" x14ac:dyDescent="0.4">
      <c r="B946" s="25"/>
      <c r="C946" s="23"/>
    </row>
    <row r="947" spans="2:3" ht="18.75" customHeight="1" x14ac:dyDescent="0.4">
      <c r="B947" s="25"/>
      <c r="C947" s="23"/>
    </row>
    <row r="948" spans="2:3" ht="18.75" customHeight="1" x14ac:dyDescent="0.4">
      <c r="B948" s="25"/>
      <c r="C948" s="23"/>
    </row>
    <row r="949" spans="2:3" ht="18.75" customHeight="1" x14ac:dyDescent="0.4">
      <c r="B949" s="25"/>
      <c r="C949" s="23"/>
    </row>
    <row r="950" spans="2:3" ht="18.75" customHeight="1" x14ac:dyDescent="0.4">
      <c r="B950" s="25"/>
      <c r="C950" s="23"/>
    </row>
    <row r="951" spans="2:3" ht="18.75" customHeight="1" x14ac:dyDescent="0.4">
      <c r="B951" s="25"/>
      <c r="C951" s="23"/>
    </row>
    <row r="952" spans="2:3" ht="18.75" customHeight="1" x14ac:dyDescent="0.4">
      <c r="B952" s="25"/>
      <c r="C952" s="23"/>
    </row>
    <row r="953" spans="2:3" ht="18.75" customHeight="1" x14ac:dyDescent="0.4">
      <c r="B953" s="25"/>
      <c r="C953" s="23"/>
    </row>
    <row r="954" spans="2:3" ht="18.75" customHeight="1" x14ac:dyDescent="0.4">
      <c r="B954" s="25"/>
      <c r="C954" s="23"/>
    </row>
    <row r="955" spans="2:3" ht="18.75" customHeight="1" x14ac:dyDescent="0.4">
      <c r="B955" s="25"/>
      <c r="C955" s="23"/>
    </row>
    <row r="956" spans="2:3" ht="18.75" customHeight="1" x14ac:dyDescent="0.4">
      <c r="B956" s="25"/>
      <c r="C956" s="23"/>
    </row>
    <row r="957" spans="2:3" ht="18.75" customHeight="1" x14ac:dyDescent="0.4">
      <c r="B957" s="25"/>
      <c r="C957" s="23"/>
    </row>
    <row r="958" spans="2:3" ht="18.75" customHeight="1" x14ac:dyDescent="0.4">
      <c r="B958" s="25"/>
      <c r="C958" s="23"/>
    </row>
    <row r="959" spans="2:3" ht="18.75" customHeight="1" x14ac:dyDescent="0.4">
      <c r="B959" s="25"/>
      <c r="C959" s="23"/>
    </row>
    <row r="960" spans="2:3" ht="18.75" customHeight="1" x14ac:dyDescent="0.4">
      <c r="B960" s="25"/>
      <c r="C960" s="23"/>
    </row>
    <row r="961" spans="2:3" ht="18.75" customHeight="1" x14ac:dyDescent="0.4">
      <c r="B961" s="25"/>
      <c r="C961" s="23"/>
    </row>
    <row r="962" spans="2:3" ht="18.75" customHeight="1" x14ac:dyDescent="0.4">
      <c r="B962" s="25"/>
      <c r="C962" s="23"/>
    </row>
    <row r="963" spans="2:3" ht="18.75" customHeight="1" x14ac:dyDescent="0.4">
      <c r="B963" s="25"/>
      <c r="C963" s="23"/>
    </row>
    <row r="964" spans="2:3" ht="18.75" customHeight="1" x14ac:dyDescent="0.4">
      <c r="B964" s="25"/>
      <c r="C964" s="23"/>
    </row>
    <row r="965" spans="2:3" ht="18.75" customHeight="1" x14ac:dyDescent="0.4">
      <c r="B965" s="25"/>
      <c r="C965" s="23"/>
    </row>
    <row r="966" spans="2:3" ht="18.75" customHeight="1" x14ac:dyDescent="0.4">
      <c r="B966" s="25"/>
      <c r="C966" s="23"/>
    </row>
    <row r="967" spans="2:3" ht="18.75" customHeight="1" x14ac:dyDescent="0.4">
      <c r="B967" s="25"/>
      <c r="C967" s="23"/>
    </row>
    <row r="968" spans="2:3" ht="18.75" customHeight="1" x14ac:dyDescent="0.4">
      <c r="B968" s="25"/>
      <c r="C968" s="23"/>
    </row>
    <row r="969" spans="2:3" ht="18.75" customHeight="1" x14ac:dyDescent="0.4">
      <c r="B969" s="25"/>
      <c r="C969" s="23"/>
    </row>
    <row r="970" spans="2:3" ht="18.75" customHeight="1" x14ac:dyDescent="0.4">
      <c r="B970" s="25"/>
      <c r="C970" s="23"/>
    </row>
    <row r="971" spans="2:3" ht="18.75" customHeight="1" x14ac:dyDescent="0.4">
      <c r="B971" s="25"/>
      <c r="C971" s="23"/>
    </row>
    <row r="972" spans="2:3" ht="18.75" customHeight="1" x14ac:dyDescent="0.4">
      <c r="B972" s="25"/>
      <c r="C972" s="23"/>
    </row>
    <row r="973" spans="2:3" ht="18.75" customHeight="1" x14ac:dyDescent="0.4">
      <c r="B973" s="25"/>
      <c r="C973" s="23"/>
    </row>
    <row r="974" spans="2:3" ht="18.75" customHeight="1" x14ac:dyDescent="0.4">
      <c r="B974" s="25"/>
      <c r="C974" s="23"/>
    </row>
    <row r="975" spans="2:3" ht="18.75" customHeight="1" x14ac:dyDescent="0.4">
      <c r="B975" s="25"/>
      <c r="C975" s="23"/>
    </row>
    <row r="976" spans="2:3" ht="18.75" customHeight="1" x14ac:dyDescent="0.4">
      <c r="B976" s="25"/>
      <c r="C976" s="23"/>
    </row>
    <row r="977" spans="2:3" ht="18.75" customHeight="1" x14ac:dyDescent="0.4">
      <c r="B977" s="25"/>
      <c r="C977" s="23"/>
    </row>
    <row r="978" spans="2:3" ht="18.75" customHeight="1" x14ac:dyDescent="0.4">
      <c r="B978" s="25"/>
      <c r="C978" s="23"/>
    </row>
    <row r="979" spans="2:3" ht="18.75" customHeight="1" x14ac:dyDescent="0.4">
      <c r="B979" s="25"/>
      <c r="C979" s="23"/>
    </row>
    <row r="980" spans="2:3" ht="18.75" customHeight="1" x14ac:dyDescent="0.4">
      <c r="B980" s="25"/>
      <c r="C980" s="23"/>
    </row>
    <row r="981" spans="2:3" ht="18.75" customHeight="1" x14ac:dyDescent="0.4">
      <c r="B981" s="25"/>
      <c r="C981" s="23"/>
    </row>
    <row r="982" spans="2:3" ht="18.75" customHeight="1" x14ac:dyDescent="0.4">
      <c r="B982" s="25"/>
      <c r="C982" s="23"/>
    </row>
    <row r="983" spans="2:3" ht="18.75" customHeight="1" x14ac:dyDescent="0.4">
      <c r="B983" s="25"/>
      <c r="C983" s="23"/>
    </row>
    <row r="984" spans="2:3" ht="18.75" customHeight="1" x14ac:dyDescent="0.4">
      <c r="B984" s="25"/>
      <c r="C984" s="23"/>
    </row>
    <row r="985" spans="2:3" ht="18.75" customHeight="1" x14ac:dyDescent="0.4">
      <c r="B985" s="25"/>
      <c r="C985" s="23"/>
    </row>
    <row r="986" spans="2:3" ht="18.75" customHeight="1" x14ac:dyDescent="0.4">
      <c r="B986" s="25"/>
      <c r="C986" s="23"/>
    </row>
    <row r="987" spans="2:3" ht="18.75" customHeight="1" x14ac:dyDescent="0.4">
      <c r="B987" s="25"/>
      <c r="C987" s="23"/>
    </row>
    <row r="988" spans="2:3" ht="18.75" customHeight="1" x14ac:dyDescent="0.4">
      <c r="B988" s="25"/>
      <c r="C988" s="23"/>
    </row>
    <row r="989" spans="2:3" ht="18.75" customHeight="1" x14ac:dyDescent="0.4">
      <c r="B989" s="25"/>
      <c r="C989" s="23"/>
    </row>
    <row r="990" spans="2:3" ht="18.75" customHeight="1" x14ac:dyDescent="0.4">
      <c r="B990" s="25"/>
      <c r="C990" s="23"/>
    </row>
    <row r="991" spans="2:3" ht="18.75" customHeight="1" x14ac:dyDescent="0.4">
      <c r="B991" s="25"/>
      <c r="C991" s="23"/>
    </row>
    <row r="992" spans="2:3" ht="18.75" customHeight="1" x14ac:dyDescent="0.4">
      <c r="B992" s="25"/>
      <c r="C992" s="23"/>
    </row>
    <row r="993" spans="2:3" ht="18.75" customHeight="1" x14ac:dyDescent="0.4">
      <c r="B993" s="25"/>
      <c r="C993" s="23"/>
    </row>
    <row r="994" spans="2:3" ht="18.75" customHeight="1" x14ac:dyDescent="0.4">
      <c r="B994" s="25"/>
      <c r="C994" s="23"/>
    </row>
    <row r="995" spans="2:3" ht="18.75" customHeight="1" x14ac:dyDescent="0.4">
      <c r="B995" s="25"/>
      <c r="C995" s="23"/>
    </row>
    <row r="996" spans="2:3" ht="18.75" customHeight="1" x14ac:dyDescent="0.4">
      <c r="B996" s="25"/>
      <c r="C996" s="23"/>
    </row>
    <row r="997" spans="2:3" ht="18.75" customHeight="1" x14ac:dyDescent="0.4">
      <c r="B997" s="25"/>
      <c r="C997" s="23"/>
    </row>
    <row r="998" spans="2:3" ht="18.75" customHeight="1" x14ac:dyDescent="0.4">
      <c r="B998" s="25"/>
      <c r="C998" s="23"/>
    </row>
    <row r="999" spans="2:3" ht="18.75" customHeight="1" x14ac:dyDescent="0.4">
      <c r="B999" s="25"/>
      <c r="C999" s="23"/>
    </row>
    <row r="1000" spans="2:3" ht="18.75" customHeight="1" x14ac:dyDescent="0.4">
      <c r="B1000" s="25"/>
      <c r="C1000" s="23"/>
    </row>
  </sheetData>
  <mergeCells count="12">
    <mergeCell ref="A5:A14"/>
    <mergeCell ref="A15:A16"/>
    <mergeCell ref="A1:F1"/>
    <mergeCell ref="A2:B2"/>
    <mergeCell ref="D2:E2"/>
    <mergeCell ref="A3:B3"/>
    <mergeCell ref="D3:F3"/>
    <mergeCell ref="A17:A21"/>
    <mergeCell ref="A22:A24"/>
    <mergeCell ref="A25:A29"/>
    <mergeCell ref="A30:A35"/>
    <mergeCell ref="A36:A43"/>
  </mergeCells>
  <dataValidations count="2">
    <dataValidation type="list" allowBlank="1" showErrorMessage="1" sqref="D15 D17 D22 D25 D28 D30 D36 D41" xr:uid="{00000000-0002-0000-0500-000000000000}">
      <formula1>"Sim,Não,NA"</formula1>
    </dataValidation>
    <dataValidation type="list" allowBlank="1" showErrorMessage="1" sqref="D6 D8 D10:D12 D14 D16 D18:D21 D23:D24 D26:D27 D29 D31:D35 D37:D40 D42:D43" xr:uid="{00000000-0002-0000-0500-000001000000}">
      <formula1>"Sim,Parcialmente,Não,NA"</formula1>
    </dataValidation>
  </dataValidations>
  <pageMargins left="0.511811024" right="0.511811024" top="0.78740157499999996" bottom="0.78740157499999996" header="0" footer="0"/>
  <pageSetup paperSize="9"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Indicadores</vt:lpstr>
      <vt:lpstr>Detalhado</vt:lpstr>
      <vt:lpstr>Ver-Iniciação1</vt:lpstr>
      <vt:lpstr>Ver-Elaboração1</vt:lpstr>
      <vt:lpstr>Ver-Construção1</vt:lpstr>
      <vt:lpstr>Ver-Transição1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Rodrigues Zerbini, Mateus</cp:lastModifiedBy>
  <dcterms:created xsi:type="dcterms:W3CDTF">2015-06-05T18:19:34Z</dcterms:created>
  <dcterms:modified xsi:type="dcterms:W3CDTF">2026-06-15T23:16:07Z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4660e54b-b9a2-481b-b759-056e1d5d7ac2</vt:lpwstr>
  </property>
</Properties>
</file>